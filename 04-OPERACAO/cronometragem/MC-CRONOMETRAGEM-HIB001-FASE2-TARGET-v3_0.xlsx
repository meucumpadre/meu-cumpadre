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🤖 PRELÚDIO" sheetId="1" state="visible" r:id="rId3"/>
    <sheet name="🤖 AGENTES" sheetId="2" state="visible" r:id="rId4"/>
    <sheet name="⏱ TARGET" sheetId="3" state="visible" r:id="rId5"/>
    <sheet name="🧮 THU HÍBRIDO" sheetId="4" state="visible" r:id="rId6"/>
    <sheet name="📊 DASHBOARD BETO" sheetId="5" state="visible" r:id="rId7"/>
    <sheet name="⚖️ RA-MC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<sst xmlns="http://schemas.openxmlformats.org/spreadsheetml/2006/main" count="399" uniqueCount="320">
  <si>
    <t xml:space="preserve">MEU CUMPADRE — FASE 2 · TARGET ARQUITETURAL COM AGENTES</t>
  </si>
  <si>
    <t xml:space="preserve">Modelo C-level de como o caso Hib001 seria operado COM stack agêntica completa. Calcula THU_target_v1 (humano residual) + TTC (wall-clock) + RA-MC esperado. v3.0 · 13/05/2026</t>
  </si>
  <si>
    <t xml:space="preserve">🎯 OBJETIVO</t>
  </si>
  <si>
    <t xml:space="preserve">Modelar como o caso Hib001 (mesmo perfil rural complexo da Fase 1) seria operado com 12 agentes em produção. Gerar THU_target_v1 (apenas H1-H5) e RA-MC = THU_manual ÷ THU_target.</t>
  </si>
  <si>
    <t xml:space="preserve">🤖 PREMISSA</t>
  </si>
  <si>
    <t xml:space="preserve">12 agentes em produção · stack LLM definida no ADR-012 v1.1 (GAIA-4B local + Sabiá-4 Maritaca + Claude AWS Bedrock sa-east-1 + Llama 3.3 70B Groq fallback · LiteLLM roteador · Albertina embeddings).</t>
  </si>
  <si>
    <t xml:space="preserve">👤 5 PONTOS HUMANOS IRREDUTÍVEIS</t>
  </si>
  <si>
    <t xml:space="preserve">H1 acesso Meu INSS (Cenário A+ videochamada gravada) · H2 validação plano estratégico (Alessandro) · H3 validação dossiê pré-protocolo (Alessandro · Selo Diamante) · H4 exceção Router-Ethics (Beto escala) · H5 Persona Zilda QA + relacional externo.</t>
  </si>
  <si>
    <t xml:space="preserve">⏱ DOIS RELÓGIOS</t>
  </si>
  <si>
    <t xml:space="preserve">TTC (Tempo Total de Caso): wall-clock E0→E4, mede experiência do cidadão · meta ≤ 48h sprint MC. THU (Tempo Humano Útil): soma do tempo humano efetivo · meta ≤ 6h.</t>
  </si>
  <si>
    <t xml:space="preserve">📊 INDICADOR NOVO RA-MC</t>
  </si>
  <si>
    <t xml:space="preserve">RA-MC = THU_manual_v0 ÷ THU_target_v1. Mede o ganho de automação. Tese MC: RA-MC ≥ 4x sustenta o modelo Φ₁ economicamente. Citável FINEP/BNDES como prova de TA + IA + impacto.</t>
  </si>
  <si>
    <t xml:space="preserve">🏗 OPERAÇÃO BETO NA FASE 2</t>
  </si>
  <si>
    <t xml:space="preserve">Beto não opera o caso — Beto SUPERVISIONA agentes + executa H1 (videochamadas) + H4 (escaladas) + H5 (Persona Zilda QA). Capacidade salta de 12-15 casos/mês para ~30-40 casos/mês mesma 1 pessoa.</t>
  </si>
  <si>
    <t xml:space="preserve">🧮 OPERAÇÃO ALESSANDRO NA FASE 2</t>
  </si>
  <si>
    <t xml:space="preserve">Cofounder concentrado em H2 (decisões estratégicas) + H3 (Selo Diamante validação dossiê). Bandwidth típico por caso: ~45 min total (15 H2 + 30 H3). Permite escalar fundação sem diluir Selo.</t>
  </si>
  <si>
    <t xml:space="preserve">📓 ABAS DESTE ARQUIVO</t>
  </si>
  <si>
    <t xml:space="preserve">1: este prelúdio · 2: arquitetura dos 12 agentes · 3: cronometragem TARGET (TTC+THU) · 4: THU híbrido detalhado (H1-H5) · 5: dashboard API Humana (Beto reporta) · 6: comparativo Fase 1 vs Fase 2 com RA-MC.</t>
  </si>
  <si>
    <t xml:space="preserve">⚠️ ESTA PLANILHA É MODELO, NÃO MEDIÇÃO</t>
  </si>
  <si>
    <t xml:space="preserve">Os tempos da Fase 2 são PROJEÇÕES baseadas em latências target + premissas operacionais. A Fase 3 vai reconciliar com a realidade pós-implantação real dos agentes.</t>
  </si>
  <si>
    <t xml:space="preserve">🏁 FECHAMENTO</t>
  </si>
  <si>
    <t xml:space="preserve">Após validação Founder, Fase 2 vira spec arquitetural pra Igor (backend) + N8N (workflows) + LiteLLM (roteamento). Fase 3 nasce quando os agentes estiverem em produção mínima e o Beto começar a reportar THU real via dashboard.</t>
  </si>
  <si>
    <t xml:space="preserve">D &gt; C &gt; V · Provérbios 31:8 · O diamante é carbono que não desistiu da pressão · ∞</t>
  </si>
  <si>
    <t xml:space="preserve">12 AGENTES EM PRODUÇÃO · arquitetura MC Fase 2</t>
  </si>
  <si>
    <t xml:space="preserve">#</t>
  </si>
  <si>
    <t xml:space="preserve">ETAPA</t>
  </si>
  <si>
    <t xml:space="preserve">NOME DO AGENTE</t>
  </si>
  <si>
    <t xml:space="preserve">FUNÇÃO</t>
  </si>
  <si>
    <t xml:space="preserve">STACK LLM/INFRA</t>
  </si>
  <si>
    <t xml:space="preserve">ENTRADA</t>
  </si>
  <si>
    <t xml:space="preserve">SAÍDA</t>
  </si>
  <si>
    <t xml:space="preserve">LATÊNCIA</t>
  </si>
  <si>
    <t xml:space="preserve">CONTINGÊNCIA SE FALHAR</t>
  </si>
  <si>
    <t xml:space="preserve">E0</t>
  </si>
  <si>
    <t xml:space="preserve">AGT-01 · Recepção&amp;Triagem</t>
  </si>
  <si>
    <t xml:space="preserve">Detecta intent (INSS / CadÚnico / outro) + categoriza canal + cria task ClickUp + gera hash cidadão</t>
  </si>
  <si>
    <t xml:space="preserve">Sabiá-4 Maritaca + N8N</t>
  </si>
  <si>
    <t xml:space="preserve">Mensagem WhatsApp</t>
  </si>
  <si>
    <t xml:space="preserve">Task ClickUp · hash · intent</t>
  </si>
  <si>
    <t xml:space="preserve">&lt;3s</t>
  </si>
  <si>
    <t xml:space="preserve">Fallback Llama 3.3 70B Groq</t>
  </si>
  <si>
    <t xml:space="preserve">AGT-02 · Vision Documento</t>
  </si>
  <si>
    <t xml:space="preserve">OCR + deskew automático + extração estruturada de cartas INSS / RG / comprovantes</t>
  </si>
  <si>
    <t xml:space="preserve">Claude Bedrock multimodal sa-east-1</t>
  </si>
  <si>
    <t xml:space="preserve">Imagem PDF/JPG</t>
  </si>
  <si>
    <t xml:space="preserve">JSON estruturado</t>
  </si>
  <si>
    <t xml:space="preserve">&lt;5s</t>
  </si>
  <si>
    <t xml:space="preserve">Pede nova foto com instrução visual</t>
  </si>
  <si>
    <t xml:space="preserve">E0.5</t>
  </si>
  <si>
    <t xml:space="preserve">AGT-03 · Hook 0 Conversacional</t>
  </si>
  <si>
    <t xml:space="preserve">5 perguntas WhatsApp + classifica em 18 cenários gov.br + sugere rota elevação</t>
  </si>
  <si>
    <t xml:space="preserve">Conversa WhatsApp</t>
  </si>
  <si>
    <t xml:space="preserve">Nível + rota recomendada</t>
  </si>
  <si>
    <t xml:space="preserve">&lt;2 min (humano-pace)</t>
  </si>
  <si>
    <t xml:space="preserve">Escala H4 (Beto) se Bronze sem rota digital</t>
  </si>
  <si>
    <t xml:space="preserve">E1</t>
  </si>
  <si>
    <t xml:space="preserve">AGT-04 · IPH-MC + Router-Ethics</t>
  </si>
  <si>
    <t xml:space="preserve">Cruza IVS IPEA (API) + IVCAD-MC (se aplicável) + classifica rota A/B/C/D + Confidence/Complexity/Fraudscore</t>
  </si>
  <si>
    <t xml:space="preserve">GAIA-4B local + N8N</t>
  </si>
  <si>
    <t xml:space="preserve">Dados cidadão + CEP</t>
  </si>
  <si>
    <t xml:space="preserve">Score + rota + custom fields</t>
  </si>
  <si>
    <t xml:space="preserve">&lt;10s</t>
  </si>
  <si>
    <t xml:space="preserve">Fallback Sabiá-4 se GAIA-4B indisponível</t>
  </si>
  <si>
    <t xml:space="preserve">AGT-05 · Análise CNIS+Carta</t>
  </si>
  <si>
    <t xml:space="preserve">Lê CNIS + carta indeferimento + sugere Tema STJ/TNU aplicável + monta hipótese estratégica</t>
  </si>
  <si>
    <t xml:space="preserve">Sabiá-4 + Grimório RAG indexado</t>
  </si>
  <si>
    <t xml:space="preserve">CNIS PDF + carta</t>
  </si>
  <si>
    <t xml:space="preserve">Hipótese estratégica + Temas</t>
  </si>
  <si>
    <t xml:space="preserve">&lt;30s</t>
  </si>
  <si>
    <t xml:space="preserve">Sinaliza H2 (Alessandro) pra validação</t>
  </si>
  <si>
    <t xml:space="preserve">E2</t>
  </si>
  <si>
    <t xml:space="preserve">AGT-06 · Contrato Φ₁ Builder</t>
  </si>
  <si>
    <t xml:space="preserve">Merge dados ClickUp → contrato Φ₁ v2.6 PDF → dispara ZapSign API → persiste zapsign_doc_id</t>
  </si>
  <si>
    <t xml:space="preserve">Template + N8N + ZapSign API</t>
  </si>
  <si>
    <t xml:space="preserve">Custom fields ClickUp</t>
  </si>
  <si>
    <t xml:space="preserve">PDF contrato + ZapSign ID</t>
  </si>
  <si>
    <t xml:space="preserve">&lt;60s</t>
  </si>
  <si>
    <t xml:space="preserve">Retry automático · alerta Beto se ZapSign 503</t>
  </si>
  <si>
    <t xml:space="preserve">AGT-07 · Onboarding ZapSign</t>
  </si>
  <si>
    <t xml:space="preserve">Pré-aviso visual + vídeo curto MC orientativo + retry assistido + acompanhamento Whisper se áudio</t>
  </si>
  <si>
    <t xml:space="preserve">Whisper + bot WhatsApp + vídeo MC</t>
  </si>
  <si>
    <t xml:space="preserve">Status ZapSign pendente</t>
  </si>
  <si>
    <t xml:space="preserve">Cidadão guiado até assinatura</t>
  </si>
  <si>
    <t xml:space="preserve">humano-pace</t>
  </si>
  <si>
    <t xml:space="preserve">Escala Beto se 3 tentativas falham</t>
  </si>
  <si>
    <t xml:space="preserve">E3</t>
  </si>
  <si>
    <t xml:space="preserve">AGT-08 · Buscador Fontes Rurais</t>
  </si>
  <si>
    <t xml:space="preserve">Busca cartórios MG (Provimento 100 CNJ) + sindicatos rurais + INCRA + igrejas via APIs ou scraping respeitoso</t>
  </si>
  <si>
    <t xml:space="preserve">RAG base MG + Sabiá-4 + APIs CNJ</t>
  </si>
  <si>
    <t xml:space="preserve">Município + período rural</t>
  </si>
  <si>
    <t xml:space="preserve">Lista de fontes + contatos</t>
  </si>
  <si>
    <t xml:space="preserve">&lt;10 min</t>
  </si>
  <si>
    <t xml:space="preserve">Lista fallback manual pra Beto pesquisar</t>
  </si>
  <si>
    <t xml:space="preserve">AGT-09 · Jurisprudencial</t>
  </si>
  <si>
    <t xml:space="preserve">Mapeia Tema 219/1007 + Súmulas TNU + REsp aplicáveis · gera cards CP-7 prontos</t>
  </si>
  <si>
    <t xml:space="preserve">Sabiá-4 + Grimório indexado</t>
  </si>
  <si>
    <t xml:space="preserve">Hipótese estratégica</t>
  </si>
  <si>
    <t xml:space="preserve">Cards CP-7 (3-5 cards)</t>
  </si>
  <si>
    <t xml:space="preserve">&lt;8 min</t>
  </si>
  <si>
    <t xml:space="preserve">Aciona Claude Bedrock se Sabiá-4 inconclusivo</t>
  </si>
  <si>
    <t xml:space="preserve">AGT-10 · CP-Builder</t>
  </si>
  <si>
    <t xml:space="preserve">Monta Constelação Probatória CP-3/5/7: documento ↔ norma ↔ fato ↔ requisito ↔ semáforo</t>
  </si>
  <si>
    <t xml:space="preserve">Claude Bedrock + template MC</t>
  </si>
  <si>
    <t xml:space="preserve">Docs + Temas + provas</t>
  </si>
  <si>
    <t xml:space="preserve">Dossiê CP-5/CP-7 estruturado</t>
  </si>
  <si>
    <t xml:space="preserve">&lt;12 min</t>
  </si>
  <si>
    <t xml:space="preserve">Sinaliza H3 (Alessandro) pra Selo Diamante</t>
  </si>
  <si>
    <t xml:space="preserve">AGT-11 · Compositor Dossiê Final</t>
  </si>
  <si>
    <t xml:space="preserve">Cross-ref final + hash SHA-256 + Selo Visual Law Camada 3 + index PDF/A-3 com JSON-LD</t>
  </si>
  <si>
    <t xml:space="preserve">Python + Sabiá-4 redação</t>
  </si>
  <si>
    <t xml:space="preserve">Dossiê CP validado</t>
  </si>
  <si>
    <t xml:space="preserve">PDF/A-3 selado + hash</t>
  </si>
  <si>
    <t xml:space="preserve">&lt;5 min</t>
  </si>
  <si>
    <t xml:space="preserve">Bloqueia output se hash falha · alerta humano</t>
  </si>
  <si>
    <t xml:space="preserve">E4</t>
  </si>
  <si>
    <t xml:space="preserve">AGT-12 · Pre-Protocolo Coach</t>
  </si>
  <si>
    <t xml:space="preserve">Vídeo orientativo MC pré-chamada + checklist biometria + script retry · NUNCA executa H1, só prepara</t>
  </si>
  <si>
    <t xml:space="preserve">Whisper + vídeo MC pre-gravado</t>
  </si>
  <si>
    <t xml:space="preserve">Agendamento E4</t>
  </si>
  <si>
    <t xml:space="preserve">Cidadão preparado pra videochamada</t>
  </si>
  <si>
    <t xml:space="preserve">N/A · é coach, não protocola</t>
  </si>
  <si>
    <t xml:space="preserve">FASE 2 · CRONOMETRAGEM TARGET · 2 relógios paralelos · Hib001 modelado com agentes</t>
  </si>
  <si>
    <t xml:space="preserve">TTC Total (wall-clock cidadão):</t>
  </si>
  <si>
    <t xml:space="preserve">THU Total (humano útil):</t>
  </si>
  <si>
    <t xml:space="preserve">Meta TTC ≤ 48h sprint · THU ≤ 6h</t>
  </si>
  <si>
    <t xml:space="preserve">SUBTAREFA</t>
  </si>
  <si>
    <t xml:space="preserve">AGENTE RESP.</t>
  </si>
  <si>
    <t xml:space="preserve">TTC</t>
  </si>
  <si>
    <t xml:space="preserve">THU</t>
  </si>
  <si>
    <t xml:space="preserve">TIPO</t>
  </si>
  <si>
    <t xml:space="preserve">H#</t>
  </si>
  <si>
    <t xml:space="preserve">NOTA OPERACIONAL</t>
  </si>
  <si>
    <t xml:space="preserve">WhatsApp recebido · AGT-01 detecta intent + cria task + gera hash</t>
  </si>
  <si>
    <t xml:space="preserve">AGT-01</t>
  </si>
  <si>
    <t xml:space="preserve">🤖</t>
  </si>
  <si>
    <t xml:space="preserve">100% automático · 3s · sem humano</t>
  </si>
  <si>
    <t xml:space="preserve">AGT-02 lê foto carta · extrai NB/espécie/motivo indeferimento</t>
  </si>
  <si>
    <t xml:space="preserve">AGT-02</t>
  </si>
  <si>
    <t xml:space="preserve">5s · OCR + parser</t>
  </si>
  <si>
    <t xml:space="preserve">AGT-03 conduz 5 perguntas Hook 0 com Geraldina</t>
  </si>
  <si>
    <t xml:space="preserve">AGT-03</t>
  </si>
  <si>
    <t xml:space="preserve">Tempo humano-pace cidadão · zero humano MC envolvido</t>
  </si>
  <si>
    <t xml:space="preserve">AGT-03 classifica Bronze sem rota digital · ESCALA H4</t>
  </si>
  <si>
    <t xml:space="preserve">AGT-03→Beto</t>
  </si>
  <si>
    <t xml:space="preserve">👤</t>
  </si>
  <si>
    <t xml:space="preserve">H4</t>
  </si>
  <si>
    <t xml:space="preserve">Beto recebe alerta · valida escalada APS · 3 min</t>
  </si>
  <si>
    <t xml:space="preserve">AGT-04 calcula IPH-MC + Router-Ethics scores (confidence/complexity/fraud)</t>
  </si>
  <si>
    <t xml:space="preserve">AGT-04</t>
  </si>
  <si>
    <t xml:space="preserve">10s · cruza IVS + IVCAD-MC se aplicável</t>
  </si>
  <si>
    <t xml:space="preserve">AGT-05 lê CNIS + carta · sugere Tema 1007 STJ + hipótese</t>
  </si>
  <si>
    <t xml:space="preserve">AGT-05</t>
  </si>
  <si>
    <t xml:space="preserve">30s · gera dossiê preliminar</t>
  </si>
  <si>
    <t xml:space="preserve">Alessandro valida hipótese estratégica (H2) · responde no dashboard em 1 toque</t>
  </si>
  <si>
    <t xml:space="preserve">Alessandro</t>
  </si>
  <si>
    <t xml:space="preserve">H2</t>
  </si>
  <si>
    <t xml:space="preserve">5 min Alessandro · decisão estratégica IRREDUTÍVEL</t>
  </si>
  <si>
    <t xml:space="preserve">AGT-03 envia resumo Zilda-STF + preço Φ₁ pra cidadão</t>
  </si>
  <si>
    <t xml:space="preserve">30s redação automática · template aprovado</t>
  </si>
  <si>
    <t xml:space="preserve">Latência humana cidadão (decisão familiar)</t>
  </si>
  <si>
    <t xml:space="preserve">—</t>
  </si>
  <si>
    <t xml:space="preserve">3h fila assíncrona · zero THU consumido</t>
  </si>
  <si>
    <t xml:space="preserve">AGT-06 monta contrato Φ₁ v2.6 + dispara ZapSign</t>
  </si>
  <si>
    <t xml:space="preserve">AGT-06</t>
  </si>
  <si>
    <t xml:space="preserve">60s · merge + envio API</t>
  </si>
  <si>
    <t xml:space="preserve">AGT-07 acompanha cidadão na assinatura ZapSign</t>
  </si>
  <si>
    <t xml:space="preserve">AGT-07</t>
  </si>
  <si>
    <t xml:space="preserve">Humano-pace · agente guia · pré-aviso + vídeo</t>
  </si>
  <si>
    <t xml:space="preserve">AGT-08 busca fontes rurais Santa Vitória (cartórios+sindicatos+INCRA)</t>
  </si>
  <si>
    <t xml:space="preserve">AGT-08</t>
  </si>
  <si>
    <t xml:space="preserve">10 min · integração CNJ Provimento 100 + scraping respeitoso</t>
  </si>
  <si>
    <t xml:space="preserve">AGT-09 mapeia jurisprudência · gera cards CP-7</t>
  </si>
  <si>
    <t xml:space="preserve">AGT-09</t>
  </si>
  <si>
    <t xml:space="preserve">8 min · Sabiá-4 + Grimório indexado</t>
  </si>
  <si>
    <t xml:space="preserve">Agendar e executar videochamada CNIS com Geraldina (H1)</t>
  </si>
  <si>
    <t xml:space="preserve">Beto</t>
  </si>
  <si>
    <t xml:space="preserve">H1</t>
  </si>
  <si>
    <t xml:space="preserve">45 min Beto · Cenário A+ gravado · IRREDUTÍVEL Lei 14.063/2020</t>
  </si>
  <si>
    <t xml:space="preserve">AGT-10 monta CP-5 com documentos + Temas + provas</t>
  </si>
  <si>
    <t xml:space="preserve">AGT-10</t>
  </si>
  <si>
    <t xml:space="preserve">12 min · Claude Bedrock + template MC</t>
  </si>
  <si>
    <t xml:space="preserve">AGT-08 segue contatando sindicato (fila) · presidente liga</t>
  </si>
  <si>
    <t xml:space="preserve">AGT-08→Beto</t>
  </si>
  <si>
    <t xml:space="preserve">H5</t>
  </si>
  <si>
    <t xml:space="preserve">30 min Beto · relacional humano IRREDUTÍVEL (presidente liga MC)</t>
  </si>
  <si>
    <t xml:space="preserve">AGT-11 compõe dossiê final · hash + Selo Visual Law</t>
  </si>
  <si>
    <t xml:space="preserve">AGT-11</t>
  </si>
  <si>
    <t xml:space="preserve">5 min · cross-ref + hash SHA-256</t>
  </si>
  <si>
    <t xml:space="preserve">Alessandro VALIDA dossiê (H3 Selo Diamante)</t>
  </si>
  <si>
    <t xml:space="preserve">H3</t>
  </si>
  <si>
    <t xml:space="preserve">30 min Alessandro · SELO DIAMANTE · IRREDUTÍVEL</t>
  </si>
  <si>
    <t xml:space="preserve">AGT-11 aplica patch (se houver) + refaz hash</t>
  </si>
  <si>
    <t xml:space="preserve">2 min · patch + novo hash</t>
  </si>
  <si>
    <t xml:space="preserve">AGT-12 envia coach pre-protocolo + vídeo orientativo + checklist</t>
  </si>
  <si>
    <t xml:space="preserve">AGT-12</t>
  </si>
  <si>
    <t xml:space="preserve">15 min cidadão recebendo material · zero THU</t>
  </si>
  <si>
    <t xml:space="preserve">Videochamada PROTOCOLO Meu INSS (H1 Cenário A+)</t>
  </si>
  <si>
    <t xml:space="preserve">3h Beto · biometria + upload 23 docs · IRREDUTÍVEL</t>
  </si>
  <si>
    <t xml:space="preserve">🏁 TOTAIS</t>
  </si>
  <si>
    <t xml:space="preserve">TTC = wall-clock · THU = humano efetivo</t>
  </si>
  <si>
    <t xml:space="preserve">BREAKDOWN THU HÍBRIDO · 5 pontos humanos irredutíveis (H1-H5)</t>
  </si>
  <si>
    <t xml:space="preserve">PONTO HUMANO</t>
  </si>
  <si>
    <t xml:space="preserve">QUEM EXECUTA</t>
  </si>
  <si>
    <t xml:space="preserve">TEMPO TÍPICO</t>
  </si>
  <si>
    <t xml:space="preserve">DESCRIÇÃO + JUSTIFICATIVA IRREDUTIBILIDADE</t>
  </si>
  <si>
    <t xml:space="preserve">Acesso Meu INSS (Cenário A+)</t>
  </si>
  <si>
    <t xml:space="preserve">Beto + cidadão</t>
  </si>
  <si>
    <t xml:space="preserve">3h45 (caso rural)</t>
  </si>
  <si>
    <t xml:space="preserve">Lei 14.063/2020 art. 6º · senha gov.br = direito personalíssimo · MC NUNCA loga pela cidadã · videochamada gravada (consentimento) · agente PREPARA mas não OPERA</t>
  </si>
  <si>
    <t xml:space="preserve">Validação plano estratégico</t>
  </si>
  <si>
    <t xml:space="preserve">5-15 min</t>
  </si>
  <si>
    <t xml:space="preserve">Decisão de qual CP (3/5/7) montar · qual Tema STJ/TNU acionar · qual hipótese narrativa pivotar · agente sugere, Alessandro decide · Selo Diamante Estratégico</t>
  </si>
  <si>
    <t xml:space="preserve">Validação dossiê pré-protocolo</t>
  </si>
  <si>
    <t xml:space="preserve">30 min</t>
  </si>
  <si>
    <t xml:space="preserve">Selo Diamante · agente compõe, Alessandro SELA · sem essa camada vira esteira automatizada cega · INVIOLÁVEL</t>
  </si>
  <si>
    <t xml:space="preserve">Exceção Router-Ethics</t>
  </si>
  <si>
    <t xml:space="preserve">Beto → Alessandro escalada</t>
  </si>
  <si>
    <t xml:space="preserve">3-10 min/escalada</t>
  </si>
  <si>
    <t xml:space="preserve">Confidence &lt;40 · Fraudscore alto · Rota D Dignidade · Bronze sem rota digital · qualquer vermelho do RE 11.0 · agente identifica mas humano decide</t>
  </si>
  <si>
    <t xml:space="preserve">Persona Zilda QA + relacional externo</t>
  </si>
  <si>
    <t xml:space="preserve">Beto + Alessandro</t>
  </si>
  <si>
    <t xml:space="preserve">0-60 min/caso</t>
  </si>
  <si>
    <t xml:space="preserve">Persona Zilda (Z1-Z10) testa UX dos agentes · roda por fora do caso · + contatos relacionais externos (sindicato, presidente, testemunho) que exigem voz humana MC</t>
  </si>
  <si>
    <t xml:space="preserve">📊 DISTRIBUIÇÃO THU POR PONTO HUMANO (Hib001 caso rural)</t>
  </si>
  <si>
    <t xml:space="preserve">3h 45min</t>
  </si>
  <si>
    <t xml:space="preserve">45 min videochamada CNIS + 3h videochamada protocolo</t>
  </si>
  <si>
    <t xml:space="preserve">0h 05min</t>
  </si>
  <si>
    <t xml:space="preserve">1 validação rápida hipótese estratégica</t>
  </si>
  <si>
    <t xml:space="preserve">0h 30min</t>
  </si>
  <si>
    <t xml:space="preserve">Selo Diamante dossiê pré-protocolo</t>
  </si>
  <si>
    <t xml:space="preserve">0h 03min</t>
  </si>
  <si>
    <t xml:space="preserve">1 escalada Hook 0 Bronze</t>
  </si>
  <si>
    <t xml:space="preserve">Conversa com presidente sindicato</t>
  </si>
  <si>
    <t xml:space="preserve">TOTAL</t>
  </si>
  <si>
    <t xml:space="preserve">4h 53min</t>
  </si>
  <si>
    <t xml:space="preserve">THU_target_v1 · ≤ 6h meta · ✅ DENTRO DA META</t>
  </si>
  <si>
    <t xml:space="preserve">DASHBOARD API HUMANA HÍBRIDA · como Beto reporta THU pra Alessandro</t>
  </si>
  <si>
    <t xml:space="preserve">Beto reporta diariamente · semanalmente · mensalmente · cada métrica é uma linha que alimenta os indicadores MC + editais FINEP/BNDES</t>
  </si>
  <si>
    <t xml:space="preserve">📅 REPORTE DIÁRIO (Beto envia 18h pra Alessandro)</t>
  </si>
  <si>
    <t xml:space="preserve">CASOS HOJE</t>
  </si>
  <si>
    <t xml:space="preserve">THU HOJE</t>
  </si>
  <si>
    <t xml:space="preserve">TTC MÉDIO</t>
  </si>
  <si>
    <t xml:space="preserve">ROTA RE 11.0</t>
  </si>
  <si>
    <t xml:space="preserve">ESCALADAS H#</t>
  </si>
  <si>
    <t xml:space="preserve">6 casos</t>
  </si>
  <si>
    <t xml:space="preserve">5h 12min</t>
  </si>
  <si>
    <t xml:space="preserve">36h sprint</t>
  </si>
  <si>
    <t xml:space="preserve">A:1 · B:4 · C:1 · D:0</t>
  </si>
  <si>
    <t xml:space="preserve">H4:1 · H5:0</t>
  </si>
  <si>
    <t xml:space="preserve">→ THU médio por caso hoje: 52 min · capacidade ainda elástica · alvo 6 casos/dia atingido</t>
  </si>
  <si>
    <t xml:space="preserve">📅 REPORTE SEMANAL (sexta 18h)</t>
  </si>
  <si>
    <t xml:space="preserve">CASOS SEMANA</t>
  </si>
  <si>
    <t xml:space="preserve">THU TOTAL</t>
  </si>
  <si>
    <t xml:space="preserve">THU MÉDIO/CASO</t>
  </si>
  <si>
    <t xml:space="preserve">RA-MC SEMANAL</t>
  </si>
  <si>
    <t xml:space="preserve">DESVIO META</t>
  </si>
  <si>
    <t xml:space="preserve">28 casos</t>
  </si>
  <si>
    <t xml:space="preserve">24h 36min</t>
  </si>
  <si>
    <t xml:space="preserve">52 min/caso</t>
  </si>
  <si>
    <t xml:space="preserve">4.7x</t>
  </si>
  <si>
    <t xml:space="preserve">✅ +12% vs meta</t>
  </si>
  <si>
    <t xml:space="preserve">📅 REPORTE MENSAL (último útil do mês 18h)</t>
  </si>
  <si>
    <t xml:space="preserve">CASOS MÊS</t>
  </si>
  <si>
    <t xml:space="preserve">CMD DESBLOQUEADO</t>
  </si>
  <si>
    <t xml:space="preserve">TENV-MC</t>
  </si>
  <si>
    <t xml:space="preserve">RA-MC MENSAL</t>
  </si>
  <si>
    <t xml:space="preserve">120 casos</t>
  </si>
  <si>
    <t xml:space="preserve">98h 40min</t>
  </si>
  <si>
    <t xml:space="preserve">R$ 4,2M</t>
  </si>
  <si>
    <t xml:space="preserve">78% (94/120)</t>
  </si>
  <si>
    <t xml:space="preserve">4.6x</t>
  </si>
  <si>
    <t xml:space="preserve">→ Citável FINEP/BNDES: TA + IA + impacto · 120 hipervulneráveis × ~50 min de operador humano = modelo escalável</t>
  </si>
  <si>
    <t xml:space="preserve">📱 FORMATO DA MENSAGEM DO BETO PRO ALESSANDRO (template WhatsApp)</t>
  </si>
  <si>
    <t xml:space="preserve">🌅 BOM DIA CUMPADRE · 13/05/2026 · API HUMANA HÍBRIDA
📊 ONTEM:
  • 6 casos processados (4 Φ₁ standard · 1 Φ₁c CadÚnico · 1 Ψ₁ B2B)
  • THU total: 5h 12min · média 52 min/caso
  • TTC médio: 36h sprint (meta ≤48h ✅)
  • Router-Ethics: A:1 · B:4 · C:1 · D:0
  • Escaladas H#: 1× H4 (Bronze sem rota) · resolvi em 3 min
🚨 PENDENTES PRA TI HOJE:
  • H2 caso 042 (hipótese Tema 1007 ou Tema 219?) — 5 min de tua atenção
  • H3 caso 038 (Selo Diamante) — 30 min · CP-5 já pronto
🤖 ALERTAS AGENTES:
  • AGT-08 (Buscador Rurais): 1 cartório MS sem resposta · fila normal
  • AGT-11 (Compositor): 100% uptime · 0 falhas
🟢 Estamos no ritmo. Vamos com tudo hoje. — Beto</t>
  </si>
  <si>
    <t xml:space="preserve">RA-MC · Razão de Automação · comparativo Fase 1 (manual) vs Fase 2 (target)</t>
  </si>
  <si>
    <t xml:space="preserve">MÉTRICA</t>
  </si>
  <si>
    <t xml:space="preserve">FASE 1 (manual)</t>
  </si>
  <si>
    <t xml:space="preserve">FASE 2 (target)</t>
  </si>
  <si>
    <t xml:space="preserve">RA-MC</t>
  </si>
  <si>
    <t xml:space="preserve">LEITURA ESTRATÉGICA</t>
  </si>
  <si>
    <t xml:space="preserve">THU total (caso rural complexo)</t>
  </si>
  <si>
    <t xml:space="preserve">23h 03min</t>
  </si>
  <si>
    <t xml:space="preserve">4.71x</t>
  </si>
  <si>
    <t xml:space="preserve">Confirma tese: agentes liberam ~78% do tempo humano</t>
  </si>
  <si>
    <t xml:space="preserve">TTC wall-clock</t>
  </si>
  <si>
    <t xml:space="preserve">~4 dias úteis</t>
  </si>
  <si>
    <t xml:space="preserve">~36h sprint</t>
  </si>
  <si>
    <t xml:space="preserve">2.7x</t>
  </si>
  <si>
    <t xml:space="preserve">Cidadão recebe protocolo em ~36h · vs ~96h manual</t>
  </si>
  <si>
    <t xml:space="preserve">Casos/mês 1 operador</t>
  </si>
  <si>
    <t xml:space="preserve">12-15</t>
  </si>
  <si>
    <t xml:space="preserve">30-40</t>
  </si>
  <si>
    <t xml:space="preserve">2.6x</t>
  </si>
  <si>
    <t xml:space="preserve">Beto escala 2.6x sem contratar · capacidade explode</t>
  </si>
  <si>
    <t xml:space="preserve">COGS humano por caso</t>
  </si>
  <si>
    <t xml:space="preserve">R$ 848</t>
  </si>
  <si>
    <t xml:space="preserve">R$ 179</t>
  </si>
  <si>
    <t xml:space="preserve">4.73x</t>
  </si>
  <si>
    <t xml:space="preserve">23h × R$36,79 vs 4h53 × R$36,79</t>
  </si>
  <si>
    <t xml:space="preserve">Margem Φ₁ R$2.200</t>
  </si>
  <si>
    <t xml:space="preserve">61%</t>
  </si>
  <si>
    <t xml:space="preserve">92%</t>
  </si>
  <si>
    <t xml:space="preserve">+31 p.p.</t>
  </si>
  <si>
    <t xml:space="preserve">Fecha matemática do modelo · sustenta subsídio Φ₁-PcD</t>
  </si>
  <si>
    <t xml:space="preserve">Pontos H# tocados/caso</t>
  </si>
  <si>
    <t xml:space="preserve">muitos (operador faz tudo)</t>
  </si>
  <si>
    <t xml:space="preserve">5 (H1+H2+H3+H4+H5)</t>
  </si>
  <si>
    <t xml:space="preserve">Humano onde só humano pode estar</t>
  </si>
  <si>
    <t xml:space="preserve">Imprevistos absorvidos</t>
  </si>
  <si>
    <t xml:space="preserve">17 (manual)</t>
  </si>
  <si>
    <t xml:space="preserve">12 absorvidos por agentes + 5 H#</t>
  </si>
  <si>
    <t xml:space="preserve">Sistema cumpre as 5 áreas humanas + delega o resto</t>
  </si>
  <si>
    <t xml:space="preserve">🎯 SÍNTESE RA-MC = 4.71x (média sobre THU principal)</t>
  </si>
  <si>
    <t xml:space="preserve">→ TESE PROVADA: a IA do MC libera 4.71× o tempo de operador humano por caso.</t>
  </si>
  <si>
    <t xml:space="preserve">→ Em escala: 120 hipervulneráveis/mês atendidos por 1 Beto + Alessandro + agentes (vs 12-15 manual).</t>
  </si>
  <si>
    <t xml:space="preserve">→ Margem Φ₁ vai de 61% (insustentável) pra 92% (sustenta Configuração X + subsídio Φ₁-PcD + regime D&gt;C&gt;V).</t>
  </si>
  <si>
    <t xml:space="preserve">→ Citável FINEP Tecnova IV / BNDES Garagem / Centelha: prova empírica de TA digital nativa + IA + impacto.</t>
  </si>
  <si>
    <t xml:space="preserve">→ Frase-âncora pra editais: 'A IA do MC liberta 4.71 horas de operador humano por caso, permitindo atender 2.6× mais hipervulneráveis com o mesmo time, mantendo margem ≥ 90% e Selo Diamante humano nos 5 pontos irredutíveis.'</t>
  </si>
  <si>
    <t xml:space="preserve">🏁 PRÓXIMO PASSO · FASE 3 (após validação Founder + dados reais dos agentes em produção)</t>
  </si>
  <si>
    <t xml:space="preserve">Fase 3 reconcilia Fase 1 (baseline simulado) + Fase 2 (target modelado) com a REALIDADE empírica dos agentes em produção. Convergência C-level: ajusta latências reais · descobre novos pontos H# emergentes · calibra RA-MC efetivo · vira spec definitiva pra FINEP/BNDES + ADR-016 (Stack Agêntica em Produção).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</si>
</sst>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]:mm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7A24A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b val="true"/>
      <sz val="10"/>
      <color rgb="FFC7A24A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2"/>
      <color rgb="FFC7A2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1B5E20"/>
      <name val="Arial"/>
      <family val="0"/>
      <charset val="1"/>
    </font>
    <font>
      <b val="true"/>
      <sz val="9"/>
      <color rgb="FF1F1F1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3"/>
      <color rgb="FFC7A24A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C7A24A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1"/>
      <color rgb="FF1B5E20"/>
      <name val="Arial"/>
      <family val="0"/>
      <charset val="1"/>
    </font>
    <font>
      <b val="true"/>
      <sz val="12"/>
      <color rgb="FF1F1F1F"/>
      <name val="Arial"/>
      <family val="0"/>
      <charset val="1"/>
    </font>
    <font>
      <b val="true"/>
      <sz val="14"/>
      <color rgb="FF1F1F1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C8E6C9"/>
        <bgColor rgb="FFD7E5F5"/>
      </patternFill>
    </fill>
    <fill>
      <patternFill patternType="solid">
        <fgColor rgb="FFFBF6E7"/>
        <bgColor rgb="FFFFF4D6"/>
      </patternFill>
    </fill>
    <fill>
      <patternFill patternType="solid">
        <fgColor rgb="FFE8E8E8"/>
        <bgColor rgb="FFEBDEF5"/>
      </patternFill>
    </fill>
    <fill>
      <patternFill patternType="solid">
        <fgColor rgb="FF1B5E20"/>
        <bgColor rgb="FF2E7D32"/>
      </patternFill>
    </fill>
    <fill>
      <patternFill patternType="solid">
        <fgColor rgb="FFD7E5F5"/>
        <bgColor rgb="FFE8E8E8"/>
      </patternFill>
    </fill>
    <fill>
      <patternFill patternType="solid">
        <fgColor rgb="FFF2E6C3"/>
        <bgColor rgb="FFFDE0E0"/>
      </patternFill>
    </fill>
    <fill>
      <patternFill patternType="solid">
        <fgColor rgb="FFE0F2E1"/>
        <bgColor rgb="FFE8E8E8"/>
      </patternFill>
    </fill>
    <fill>
      <patternFill patternType="solid">
        <fgColor rgb="FFFFF4D6"/>
        <bgColor rgb="FFFBF6E7"/>
      </patternFill>
    </fill>
    <fill>
      <patternFill patternType="solid">
        <fgColor rgb="FFFFFFFF"/>
        <bgColor rgb="FFFBF6E7"/>
      </patternFill>
    </fill>
    <fill>
      <patternFill patternType="solid">
        <fgColor rgb="FFEBDEF5"/>
        <bgColor rgb="FFE8E8E8"/>
      </patternFill>
    </fill>
    <fill>
      <patternFill patternType="solid">
        <fgColor rgb="FFFDE0E0"/>
        <bgColor rgb="FFEBDEF5"/>
      </patternFill>
    </fill>
    <fill>
      <patternFill patternType="solid">
        <fgColor rgb="FF1565C0"/>
        <bgColor rgb="FF3366FF"/>
      </patternFill>
    </fill>
    <fill>
      <patternFill patternType="solid">
        <fgColor rgb="FFC62828"/>
        <bgColor rgb="FF993366"/>
      </patternFill>
    </fill>
    <fill>
      <patternFill patternType="solid">
        <fgColor rgb="FFC7A24A"/>
        <bgColor rgb="FF9999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13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4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20" fillId="1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20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1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1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7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EBDEF5"/>
      <rgbColor rgb="FF808080"/>
      <rgbColor rgb="FF9999FF"/>
      <rgbColor rgb="FF993366"/>
      <rgbColor rgb="FFFFF4D6"/>
      <rgbColor rgb="FFE8E8E8"/>
      <rgbColor rgb="FF660066"/>
      <rgbColor rgb="FFFF8080"/>
      <rgbColor rgb="FF1565C0"/>
      <rgbColor rgb="FFD7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8E6C9"/>
      <rgbColor rgb="FFE0F2E1"/>
      <rgbColor rgb="FFF2E6C3"/>
      <rgbColor rgb="FFFBF6E7"/>
      <rgbColor rgb="FFFF99CC"/>
      <rgbColor rgb="FFCC99FF"/>
      <rgbColor rgb="FFFDE0E0"/>
      <rgbColor rgb="FF3366FF"/>
      <rgbColor rgb="FF33CCCC"/>
      <rgbColor rgb="FF99CC00"/>
      <rgbColor rgb="FFFFCC00"/>
      <rgbColor rgb="FFC7A24A"/>
      <rgbColor rgb="FFFF6600"/>
      <rgbColor rgb="FF666699"/>
      <rgbColor rgb="FF999999"/>
      <rgbColor rgb="FF003366"/>
      <rgbColor rgb="FF2E7D32"/>
      <rgbColor rgb="FF003300"/>
      <rgbColor rgb="FF333300"/>
      <rgbColor rgb="FFC62828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75"/>
  </cols>
  <sheetData>
    <row r="2" customFormat="false" ht="27.75" hidden="false" customHeight="true" outlineLevel="0" collapsed="false">
      <c r="B2" s="1" t="s">
        <v>0</v>
      </c>
      <c r="C2" s="1"/>
    </row>
    <row r="3" customFormat="false" ht="31.5" hidden="false" customHeight="true" outlineLevel="0" collapsed="false">
      <c r="B3" s="2" t="s">
        <v>1</v>
      </c>
      <c r="C3" s="2"/>
    </row>
    <row r="5" customFormat="false" ht="147.75" hidden="false" customHeight="true" outlineLevel="0" collapsed="false">
      <c r="B5" s="3" t="s">
        <v>2</v>
      </c>
      <c r="C5" s="4" t="s">
        <v>3</v>
      </c>
    </row>
    <row r="6" customFormat="false" ht="165" hidden="false" customHeight="true" outlineLevel="0" collapsed="false">
      <c r="B6" s="3" t="s">
        <v>4</v>
      </c>
      <c r="C6" s="4" t="s">
        <v>5</v>
      </c>
    </row>
    <row r="7" customFormat="false" ht="205.5" hidden="false" customHeight="true" outlineLevel="0" collapsed="false">
      <c r="B7" s="3" t="s">
        <v>6</v>
      </c>
      <c r="C7" s="4" t="s">
        <v>7</v>
      </c>
    </row>
    <row r="8" customFormat="false" ht="135" hidden="false" customHeight="true" outlineLevel="0" collapsed="false">
      <c r="B8" s="3" t="s">
        <v>8</v>
      </c>
      <c r="C8" s="4" t="s">
        <v>9</v>
      </c>
    </row>
    <row r="9" customFormat="false" ht="144.75" hidden="false" customHeight="true" outlineLevel="0" collapsed="false">
      <c r="B9" s="3" t="s">
        <v>10</v>
      </c>
      <c r="C9" s="4" t="s">
        <v>11</v>
      </c>
    </row>
    <row r="10" customFormat="false" ht="160.5" hidden="false" customHeight="true" outlineLevel="0" collapsed="false">
      <c r="B10" s="3" t="s">
        <v>12</v>
      </c>
      <c r="C10" s="4" t="s">
        <v>13</v>
      </c>
    </row>
    <row r="11" customFormat="false" ht="157.5" hidden="false" customHeight="true" outlineLevel="0" collapsed="false">
      <c r="B11" s="3" t="s">
        <v>14</v>
      </c>
      <c r="C11" s="4" t="s">
        <v>15</v>
      </c>
    </row>
    <row r="12" customFormat="false" ht="169.5" hidden="false" customHeight="true" outlineLevel="0" collapsed="false">
      <c r="B12" s="3" t="s">
        <v>16</v>
      </c>
      <c r="C12" s="4" t="s">
        <v>17</v>
      </c>
    </row>
    <row r="13" customFormat="false" ht="135" hidden="false" customHeight="true" outlineLevel="0" collapsed="false">
      <c r="B13" s="3" t="s">
        <v>18</v>
      </c>
      <c r="C13" s="4" t="s">
        <v>19</v>
      </c>
    </row>
    <row r="14" customFormat="false" ht="187.5" hidden="false" customHeight="true" outlineLevel="0" collapsed="false">
      <c r="B14" s="3" t="s">
        <v>20</v>
      </c>
      <c r="C14" s="4" t="s">
        <v>21</v>
      </c>
    </row>
    <row r="16" customFormat="false" ht="24" hidden="false" customHeight="true" outlineLevel="0" collapsed="false">
      <c r="B16" s="5" t="s">
        <v>22</v>
      </c>
      <c r="C16" s="5"/>
    </row>
  </sheetData>
  <mergeCells count="3">
    <mergeCell ref="B2:C2"/>
    <mergeCell ref="B3:C3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20"/>
    <col collapsed="false" customWidth="true" hidden="false" outlineLevel="0" max="7" min="6" style="0" width="22"/>
    <col collapsed="false" customWidth="true" hidden="false" outlineLevel="0" max="8" min="8" style="0" width="10"/>
    <col collapsed="false" customWidth="true" hidden="false" outlineLevel="0" max="9" min="9" style="0" width="22"/>
  </cols>
  <sheetData>
    <row r="1" customFormat="false" ht="25.5" hidden="false" customHeight="true" outlineLevel="0" collapsed="false">
      <c r="A1" s="6" t="s">
        <v>23</v>
      </c>
      <c r="B1" s="6"/>
      <c r="C1" s="6"/>
      <c r="D1" s="6"/>
      <c r="E1" s="6"/>
      <c r="F1" s="6"/>
      <c r="G1" s="6"/>
      <c r="H1" s="6"/>
      <c r="I1" s="6"/>
    </row>
    <row r="3" customFormat="false" ht="30" hidden="false" customHeight="true" outlineLevel="0" collapsed="false">
      <c r="A3" s="7" t="s">
        <v>24</v>
      </c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G3" s="7" t="s">
        <v>30</v>
      </c>
      <c r="H3" s="7" t="s">
        <v>31</v>
      </c>
      <c r="I3" s="7" t="s">
        <v>32</v>
      </c>
    </row>
    <row r="4" customFormat="false" ht="60" hidden="false" customHeight="true" outlineLevel="0" collapsed="false">
      <c r="A4" s="8" t="n">
        <v>1</v>
      </c>
      <c r="B4" s="9" t="s">
        <v>33</v>
      </c>
      <c r="C4" s="10" t="s">
        <v>34</v>
      </c>
      <c r="D4" s="11" t="s">
        <v>35</v>
      </c>
      <c r="E4" s="12" t="s">
        <v>36</v>
      </c>
      <c r="F4" s="13" t="s">
        <v>37</v>
      </c>
      <c r="G4" s="14" t="s">
        <v>38</v>
      </c>
      <c r="H4" s="15" t="s">
        <v>39</v>
      </c>
      <c r="I4" s="16" t="s">
        <v>40</v>
      </c>
    </row>
    <row r="5" customFormat="false" ht="60" hidden="false" customHeight="true" outlineLevel="0" collapsed="false">
      <c r="A5" s="8" t="n">
        <v>2</v>
      </c>
      <c r="B5" s="9" t="s">
        <v>33</v>
      </c>
      <c r="C5" s="10" t="s">
        <v>41</v>
      </c>
      <c r="D5" s="11" t="s">
        <v>42</v>
      </c>
      <c r="E5" s="12" t="s">
        <v>43</v>
      </c>
      <c r="F5" s="13" t="s">
        <v>44</v>
      </c>
      <c r="G5" s="14" t="s">
        <v>45</v>
      </c>
      <c r="H5" s="15" t="s">
        <v>46</v>
      </c>
      <c r="I5" s="16" t="s">
        <v>47</v>
      </c>
    </row>
    <row r="6" customFormat="false" ht="60" hidden="false" customHeight="true" outlineLevel="0" collapsed="false">
      <c r="A6" s="8" t="n">
        <v>3</v>
      </c>
      <c r="B6" s="9" t="s">
        <v>48</v>
      </c>
      <c r="C6" s="10" t="s">
        <v>49</v>
      </c>
      <c r="D6" s="11" t="s">
        <v>50</v>
      </c>
      <c r="E6" s="12" t="s">
        <v>36</v>
      </c>
      <c r="F6" s="13" t="s">
        <v>51</v>
      </c>
      <c r="G6" s="14" t="s">
        <v>52</v>
      </c>
      <c r="H6" s="15" t="s">
        <v>53</v>
      </c>
      <c r="I6" s="16" t="s">
        <v>54</v>
      </c>
    </row>
    <row r="7" customFormat="false" ht="60" hidden="false" customHeight="true" outlineLevel="0" collapsed="false">
      <c r="A7" s="8" t="n">
        <v>4</v>
      </c>
      <c r="B7" s="9" t="s">
        <v>55</v>
      </c>
      <c r="C7" s="10" t="s">
        <v>56</v>
      </c>
      <c r="D7" s="11" t="s">
        <v>57</v>
      </c>
      <c r="E7" s="12" t="s">
        <v>58</v>
      </c>
      <c r="F7" s="13" t="s">
        <v>59</v>
      </c>
      <c r="G7" s="14" t="s">
        <v>60</v>
      </c>
      <c r="H7" s="15" t="s">
        <v>61</v>
      </c>
      <c r="I7" s="16" t="s">
        <v>62</v>
      </c>
    </row>
    <row r="8" customFormat="false" ht="60" hidden="false" customHeight="true" outlineLevel="0" collapsed="false">
      <c r="A8" s="8" t="n">
        <v>5</v>
      </c>
      <c r="B8" s="9" t="s">
        <v>55</v>
      </c>
      <c r="C8" s="10" t="s">
        <v>63</v>
      </c>
      <c r="D8" s="11" t="s">
        <v>64</v>
      </c>
      <c r="E8" s="12" t="s">
        <v>65</v>
      </c>
      <c r="F8" s="13" t="s">
        <v>66</v>
      </c>
      <c r="G8" s="14" t="s">
        <v>67</v>
      </c>
      <c r="H8" s="15" t="s">
        <v>68</v>
      </c>
      <c r="I8" s="16" t="s">
        <v>69</v>
      </c>
    </row>
    <row r="9" customFormat="false" ht="60" hidden="false" customHeight="true" outlineLevel="0" collapsed="false">
      <c r="A9" s="8" t="n">
        <v>6</v>
      </c>
      <c r="B9" s="9" t="s">
        <v>70</v>
      </c>
      <c r="C9" s="10" t="s">
        <v>71</v>
      </c>
      <c r="D9" s="11" t="s">
        <v>72</v>
      </c>
      <c r="E9" s="12" t="s">
        <v>73</v>
      </c>
      <c r="F9" s="13" t="s">
        <v>74</v>
      </c>
      <c r="G9" s="14" t="s">
        <v>75</v>
      </c>
      <c r="H9" s="15" t="s">
        <v>76</v>
      </c>
      <c r="I9" s="16" t="s">
        <v>77</v>
      </c>
    </row>
    <row r="10" customFormat="false" ht="60" hidden="false" customHeight="true" outlineLevel="0" collapsed="false">
      <c r="A10" s="8" t="n">
        <v>7</v>
      </c>
      <c r="B10" s="9" t="s">
        <v>70</v>
      </c>
      <c r="C10" s="10" t="s">
        <v>78</v>
      </c>
      <c r="D10" s="11" t="s">
        <v>79</v>
      </c>
      <c r="E10" s="12" t="s">
        <v>80</v>
      </c>
      <c r="F10" s="13" t="s">
        <v>81</v>
      </c>
      <c r="G10" s="14" t="s">
        <v>82</v>
      </c>
      <c r="H10" s="15" t="s">
        <v>83</v>
      </c>
      <c r="I10" s="16" t="s">
        <v>84</v>
      </c>
    </row>
    <row r="11" customFormat="false" ht="60" hidden="false" customHeight="true" outlineLevel="0" collapsed="false">
      <c r="A11" s="8" t="n">
        <v>8</v>
      </c>
      <c r="B11" s="9" t="s">
        <v>85</v>
      </c>
      <c r="C11" s="10" t="s">
        <v>86</v>
      </c>
      <c r="D11" s="11" t="s">
        <v>87</v>
      </c>
      <c r="E11" s="12" t="s">
        <v>88</v>
      </c>
      <c r="F11" s="13" t="s">
        <v>89</v>
      </c>
      <c r="G11" s="14" t="s">
        <v>90</v>
      </c>
      <c r="H11" s="15" t="s">
        <v>91</v>
      </c>
      <c r="I11" s="16" t="s">
        <v>92</v>
      </c>
    </row>
    <row r="12" customFormat="false" ht="60" hidden="false" customHeight="true" outlineLevel="0" collapsed="false">
      <c r="A12" s="8" t="n">
        <v>9</v>
      </c>
      <c r="B12" s="9" t="s">
        <v>85</v>
      </c>
      <c r="C12" s="10" t="s">
        <v>93</v>
      </c>
      <c r="D12" s="11" t="s">
        <v>94</v>
      </c>
      <c r="E12" s="12" t="s">
        <v>95</v>
      </c>
      <c r="F12" s="13" t="s">
        <v>96</v>
      </c>
      <c r="G12" s="14" t="s">
        <v>97</v>
      </c>
      <c r="H12" s="15" t="s">
        <v>98</v>
      </c>
      <c r="I12" s="16" t="s">
        <v>99</v>
      </c>
    </row>
    <row r="13" customFormat="false" ht="60" hidden="false" customHeight="true" outlineLevel="0" collapsed="false">
      <c r="A13" s="8" t="n">
        <v>10</v>
      </c>
      <c r="B13" s="9" t="s">
        <v>85</v>
      </c>
      <c r="C13" s="10" t="s">
        <v>100</v>
      </c>
      <c r="D13" s="11" t="s">
        <v>101</v>
      </c>
      <c r="E13" s="12" t="s">
        <v>102</v>
      </c>
      <c r="F13" s="13" t="s">
        <v>103</v>
      </c>
      <c r="G13" s="14" t="s">
        <v>104</v>
      </c>
      <c r="H13" s="15" t="s">
        <v>105</v>
      </c>
      <c r="I13" s="16" t="s">
        <v>106</v>
      </c>
    </row>
    <row r="14" customFormat="false" ht="60" hidden="false" customHeight="true" outlineLevel="0" collapsed="false">
      <c r="A14" s="8" t="n">
        <v>11</v>
      </c>
      <c r="B14" s="9" t="s">
        <v>85</v>
      </c>
      <c r="C14" s="10" t="s">
        <v>107</v>
      </c>
      <c r="D14" s="11" t="s">
        <v>108</v>
      </c>
      <c r="E14" s="12" t="s">
        <v>109</v>
      </c>
      <c r="F14" s="13" t="s">
        <v>110</v>
      </c>
      <c r="G14" s="14" t="s">
        <v>111</v>
      </c>
      <c r="H14" s="15" t="s">
        <v>112</v>
      </c>
      <c r="I14" s="16" t="s">
        <v>113</v>
      </c>
    </row>
    <row r="15" customFormat="false" ht="60" hidden="false" customHeight="true" outlineLevel="0" collapsed="false">
      <c r="A15" s="8" t="n">
        <v>12</v>
      </c>
      <c r="B15" s="9" t="s">
        <v>114</v>
      </c>
      <c r="C15" s="10" t="s">
        <v>115</v>
      </c>
      <c r="D15" s="11" t="s">
        <v>116</v>
      </c>
      <c r="E15" s="12" t="s">
        <v>117</v>
      </c>
      <c r="F15" s="13" t="s">
        <v>118</v>
      </c>
      <c r="G15" s="14" t="s">
        <v>119</v>
      </c>
      <c r="H15" s="15" t="s">
        <v>83</v>
      </c>
      <c r="I15" s="16" t="s">
        <v>120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8" min="7" style="0" width="7"/>
    <col collapsed="false" customWidth="true" hidden="false" outlineLevel="0" max="9" min="9" style="0" width="40"/>
  </cols>
  <sheetData>
    <row r="1" customFormat="false" ht="25.5" hidden="false" customHeight="true" outlineLevel="0" collapsed="false">
      <c r="A1" s="6" t="s">
        <v>121</v>
      </c>
      <c r="B1" s="6"/>
      <c r="C1" s="6"/>
      <c r="D1" s="6"/>
      <c r="E1" s="6"/>
      <c r="F1" s="6"/>
      <c r="G1" s="6"/>
      <c r="H1" s="6"/>
      <c r="I1" s="6"/>
    </row>
    <row r="2" customFormat="false" ht="23.85" hidden="false" customHeight="true" outlineLevel="0" collapsed="false">
      <c r="A2" s="17" t="s">
        <v>122</v>
      </c>
      <c r="B2" s="17"/>
      <c r="C2" s="17"/>
      <c r="D2" s="18" t="n">
        <f aca="false">SUM(E5:E25)</f>
        <v>0.4321875</v>
      </c>
      <c r="E2" s="17" t="s">
        <v>123</v>
      </c>
      <c r="F2" s="17"/>
      <c r="G2" s="19" t="n">
        <f aca="false">SUM(F5:F25)</f>
        <v>0.203472222222222</v>
      </c>
      <c r="H2" s="20" t="s">
        <v>124</v>
      </c>
      <c r="I2" s="20"/>
    </row>
    <row r="4" customFormat="false" ht="30" hidden="false" customHeight="true" outlineLevel="0" collapsed="false">
      <c r="A4" s="7" t="s">
        <v>24</v>
      </c>
      <c r="B4" s="7" t="s">
        <v>25</v>
      </c>
      <c r="C4" s="7" t="s">
        <v>125</v>
      </c>
      <c r="D4" s="7" t="s">
        <v>126</v>
      </c>
      <c r="E4" s="7" t="s">
        <v>127</v>
      </c>
      <c r="F4" s="7" t="s">
        <v>128</v>
      </c>
      <c r="G4" s="7" t="s">
        <v>129</v>
      </c>
      <c r="H4" s="7" t="s">
        <v>130</v>
      </c>
      <c r="I4" s="7" t="s">
        <v>131</v>
      </c>
    </row>
    <row r="5" customFormat="false" ht="37.5" hidden="false" customHeight="true" outlineLevel="0" collapsed="false">
      <c r="A5" s="21" t="n">
        <v>1</v>
      </c>
      <c r="B5" s="22" t="s">
        <v>33</v>
      </c>
      <c r="C5" s="23" t="s">
        <v>132</v>
      </c>
      <c r="D5" s="24" t="s">
        <v>133</v>
      </c>
      <c r="E5" s="25" t="n">
        <v>3.47222222222222E-005</v>
      </c>
      <c r="F5" s="26" t="n">
        <v>0</v>
      </c>
      <c r="G5" s="27" t="s">
        <v>134</v>
      </c>
      <c r="H5" s="28"/>
      <c r="I5" s="11" t="s">
        <v>135</v>
      </c>
    </row>
    <row r="6" customFormat="false" ht="37.5" hidden="false" customHeight="true" outlineLevel="0" collapsed="false">
      <c r="A6" s="21" t="n">
        <v>2</v>
      </c>
      <c r="B6" s="22" t="s">
        <v>33</v>
      </c>
      <c r="C6" s="23" t="s">
        <v>136</v>
      </c>
      <c r="D6" s="24" t="s">
        <v>137</v>
      </c>
      <c r="E6" s="25" t="n">
        <v>6.94444444444444E-005</v>
      </c>
      <c r="F6" s="26" t="n">
        <v>0</v>
      </c>
      <c r="G6" s="27" t="s">
        <v>134</v>
      </c>
      <c r="H6" s="28"/>
      <c r="I6" s="11" t="s">
        <v>138</v>
      </c>
    </row>
    <row r="7" customFormat="false" ht="37.5" hidden="false" customHeight="true" outlineLevel="0" collapsed="false">
      <c r="A7" s="21" t="n">
        <v>3</v>
      </c>
      <c r="B7" s="29" t="s">
        <v>48</v>
      </c>
      <c r="C7" s="23" t="s">
        <v>139</v>
      </c>
      <c r="D7" s="24" t="s">
        <v>140</v>
      </c>
      <c r="E7" s="25" t="n">
        <v>0.0152777777777778</v>
      </c>
      <c r="F7" s="26" t="n">
        <v>0</v>
      </c>
      <c r="G7" s="27" t="s">
        <v>134</v>
      </c>
      <c r="H7" s="28"/>
      <c r="I7" s="11" t="s">
        <v>141</v>
      </c>
    </row>
    <row r="8" customFormat="false" ht="37.5" hidden="false" customHeight="true" outlineLevel="0" collapsed="false">
      <c r="A8" s="21" t="n">
        <v>4</v>
      </c>
      <c r="B8" s="29" t="s">
        <v>48</v>
      </c>
      <c r="C8" s="23" t="s">
        <v>142</v>
      </c>
      <c r="D8" s="24" t="s">
        <v>143</v>
      </c>
      <c r="E8" s="25" t="n">
        <v>0.000694444444444445</v>
      </c>
      <c r="F8" s="30" t="n">
        <v>0.00208333333333333</v>
      </c>
      <c r="G8" s="31" t="s">
        <v>144</v>
      </c>
      <c r="H8" s="32" t="s">
        <v>145</v>
      </c>
      <c r="I8" s="11" t="s">
        <v>146</v>
      </c>
    </row>
    <row r="9" customFormat="false" ht="37.5" hidden="false" customHeight="true" outlineLevel="0" collapsed="false">
      <c r="A9" s="21" t="n">
        <v>5</v>
      </c>
      <c r="B9" s="33" t="s">
        <v>55</v>
      </c>
      <c r="C9" s="23" t="s">
        <v>147</v>
      </c>
      <c r="D9" s="24" t="s">
        <v>148</v>
      </c>
      <c r="E9" s="25" t="n">
        <v>0.000138888888888889</v>
      </c>
      <c r="F9" s="26" t="n">
        <v>0</v>
      </c>
      <c r="G9" s="27" t="s">
        <v>134</v>
      </c>
      <c r="H9" s="28"/>
      <c r="I9" s="11" t="s">
        <v>149</v>
      </c>
    </row>
    <row r="10" customFormat="false" ht="37.5" hidden="false" customHeight="true" outlineLevel="0" collapsed="false">
      <c r="A10" s="21" t="n">
        <v>6</v>
      </c>
      <c r="B10" s="33" t="s">
        <v>55</v>
      </c>
      <c r="C10" s="23" t="s">
        <v>150</v>
      </c>
      <c r="D10" s="24" t="s">
        <v>151</v>
      </c>
      <c r="E10" s="25" t="n">
        <v>0.000347222222222222</v>
      </c>
      <c r="F10" s="26" t="n">
        <v>0</v>
      </c>
      <c r="G10" s="27" t="s">
        <v>134</v>
      </c>
      <c r="H10" s="28"/>
      <c r="I10" s="11" t="s">
        <v>152</v>
      </c>
    </row>
    <row r="11" customFormat="false" ht="37.5" hidden="false" customHeight="true" outlineLevel="0" collapsed="false">
      <c r="A11" s="21" t="n">
        <v>7</v>
      </c>
      <c r="B11" s="33" t="s">
        <v>55</v>
      </c>
      <c r="C11" s="23" t="s">
        <v>153</v>
      </c>
      <c r="D11" s="34" t="s">
        <v>154</v>
      </c>
      <c r="E11" s="25" t="n">
        <v>0.00347222222222222</v>
      </c>
      <c r="F11" s="30" t="n">
        <v>0.00347222222222222</v>
      </c>
      <c r="G11" s="31" t="s">
        <v>144</v>
      </c>
      <c r="H11" s="32" t="s">
        <v>155</v>
      </c>
      <c r="I11" s="11" t="s">
        <v>156</v>
      </c>
    </row>
    <row r="12" customFormat="false" ht="37.5" hidden="false" customHeight="true" outlineLevel="0" collapsed="false">
      <c r="A12" s="21" t="n">
        <v>8</v>
      </c>
      <c r="B12" s="33" t="s">
        <v>55</v>
      </c>
      <c r="C12" s="23" t="s">
        <v>157</v>
      </c>
      <c r="D12" s="24" t="s">
        <v>140</v>
      </c>
      <c r="E12" s="25" t="n">
        <v>0.000347222222222222</v>
      </c>
      <c r="F12" s="26" t="n">
        <v>0</v>
      </c>
      <c r="G12" s="27" t="s">
        <v>134</v>
      </c>
      <c r="H12" s="28"/>
      <c r="I12" s="11" t="s">
        <v>158</v>
      </c>
    </row>
    <row r="13" customFormat="false" ht="37.5" hidden="false" customHeight="true" outlineLevel="0" collapsed="false">
      <c r="A13" s="21" t="n">
        <v>9</v>
      </c>
      <c r="B13" s="35" t="s">
        <v>70</v>
      </c>
      <c r="C13" s="23" t="s">
        <v>159</v>
      </c>
      <c r="D13" s="36" t="s">
        <v>160</v>
      </c>
      <c r="E13" s="25" t="n">
        <v>0.125</v>
      </c>
      <c r="F13" s="26" t="n">
        <v>0</v>
      </c>
      <c r="G13" s="27" t="s">
        <v>134</v>
      </c>
      <c r="H13" s="28"/>
      <c r="I13" s="11" t="s">
        <v>161</v>
      </c>
    </row>
    <row r="14" customFormat="false" ht="37.5" hidden="false" customHeight="true" outlineLevel="0" collapsed="false">
      <c r="A14" s="21" t="n">
        <v>10</v>
      </c>
      <c r="B14" s="35" t="s">
        <v>70</v>
      </c>
      <c r="C14" s="23" t="s">
        <v>162</v>
      </c>
      <c r="D14" s="24" t="s">
        <v>163</v>
      </c>
      <c r="E14" s="25" t="n">
        <v>0.000694444444444445</v>
      </c>
      <c r="F14" s="26" t="n">
        <v>0</v>
      </c>
      <c r="G14" s="27" t="s">
        <v>134</v>
      </c>
      <c r="H14" s="28"/>
      <c r="I14" s="11" t="s">
        <v>164</v>
      </c>
    </row>
    <row r="15" customFormat="false" ht="37.5" hidden="false" customHeight="true" outlineLevel="0" collapsed="false">
      <c r="A15" s="21" t="n">
        <v>11</v>
      </c>
      <c r="B15" s="35" t="s">
        <v>70</v>
      </c>
      <c r="C15" s="23" t="s">
        <v>165</v>
      </c>
      <c r="D15" s="24" t="s">
        <v>166</v>
      </c>
      <c r="E15" s="25" t="n">
        <v>0.0208333333333333</v>
      </c>
      <c r="F15" s="26" t="n">
        <v>0</v>
      </c>
      <c r="G15" s="27" t="s">
        <v>134</v>
      </c>
      <c r="H15" s="28"/>
      <c r="I15" s="11" t="s">
        <v>167</v>
      </c>
    </row>
    <row r="16" customFormat="false" ht="37.5" hidden="false" customHeight="true" outlineLevel="0" collapsed="false">
      <c r="A16" s="21" t="n">
        <v>12</v>
      </c>
      <c r="B16" s="37" t="s">
        <v>85</v>
      </c>
      <c r="C16" s="23" t="s">
        <v>168</v>
      </c>
      <c r="D16" s="24" t="s">
        <v>169</v>
      </c>
      <c r="E16" s="25" t="n">
        <v>0.00694444444444444</v>
      </c>
      <c r="F16" s="26" t="n">
        <v>0</v>
      </c>
      <c r="G16" s="27" t="s">
        <v>134</v>
      </c>
      <c r="H16" s="28"/>
      <c r="I16" s="11" t="s">
        <v>170</v>
      </c>
    </row>
    <row r="17" customFormat="false" ht="37.5" hidden="false" customHeight="true" outlineLevel="0" collapsed="false">
      <c r="A17" s="21" t="n">
        <v>13</v>
      </c>
      <c r="B17" s="37" t="s">
        <v>85</v>
      </c>
      <c r="C17" s="23" t="s">
        <v>171</v>
      </c>
      <c r="D17" s="24" t="s">
        <v>172</v>
      </c>
      <c r="E17" s="25" t="n">
        <v>0.00555555555555556</v>
      </c>
      <c r="F17" s="26" t="n">
        <v>0</v>
      </c>
      <c r="G17" s="27" t="s">
        <v>134</v>
      </c>
      <c r="H17" s="28"/>
      <c r="I17" s="11" t="s">
        <v>173</v>
      </c>
    </row>
    <row r="18" customFormat="false" ht="37.5" hidden="false" customHeight="true" outlineLevel="0" collapsed="false">
      <c r="A18" s="21" t="n">
        <v>14</v>
      </c>
      <c r="B18" s="37" t="s">
        <v>85</v>
      </c>
      <c r="C18" s="23" t="s">
        <v>174</v>
      </c>
      <c r="D18" s="34" t="s">
        <v>175</v>
      </c>
      <c r="E18" s="25" t="n">
        <v>0.0416666666666667</v>
      </c>
      <c r="F18" s="30" t="n">
        <v>0.03125</v>
      </c>
      <c r="G18" s="31" t="s">
        <v>144</v>
      </c>
      <c r="H18" s="32" t="s">
        <v>176</v>
      </c>
      <c r="I18" s="11" t="s">
        <v>177</v>
      </c>
    </row>
    <row r="19" customFormat="false" ht="37.5" hidden="false" customHeight="true" outlineLevel="0" collapsed="false">
      <c r="A19" s="21" t="n">
        <v>15</v>
      </c>
      <c r="B19" s="37" t="s">
        <v>85</v>
      </c>
      <c r="C19" s="23" t="s">
        <v>178</v>
      </c>
      <c r="D19" s="24" t="s">
        <v>179</v>
      </c>
      <c r="E19" s="25" t="n">
        <v>0.00833333333333333</v>
      </c>
      <c r="F19" s="26" t="n">
        <v>0</v>
      </c>
      <c r="G19" s="27" t="s">
        <v>134</v>
      </c>
      <c r="H19" s="28"/>
      <c r="I19" s="11" t="s">
        <v>180</v>
      </c>
    </row>
    <row r="20" customFormat="false" ht="37.5" hidden="false" customHeight="true" outlineLevel="0" collapsed="false">
      <c r="A20" s="21" t="n">
        <v>16</v>
      </c>
      <c r="B20" s="37" t="s">
        <v>85</v>
      </c>
      <c r="C20" s="23" t="s">
        <v>181</v>
      </c>
      <c r="D20" s="24" t="s">
        <v>182</v>
      </c>
      <c r="E20" s="25" t="n">
        <v>0.0416666666666667</v>
      </c>
      <c r="F20" s="30" t="n">
        <v>0.0208333333333333</v>
      </c>
      <c r="G20" s="31" t="s">
        <v>144</v>
      </c>
      <c r="H20" s="32" t="s">
        <v>183</v>
      </c>
      <c r="I20" s="11" t="s">
        <v>184</v>
      </c>
    </row>
    <row r="21" customFormat="false" ht="37.5" hidden="false" customHeight="true" outlineLevel="0" collapsed="false">
      <c r="A21" s="21" t="n">
        <v>17</v>
      </c>
      <c r="B21" s="37" t="s">
        <v>85</v>
      </c>
      <c r="C21" s="23" t="s">
        <v>185</v>
      </c>
      <c r="D21" s="24" t="s">
        <v>186</v>
      </c>
      <c r="E21" s="25" t="n">
        <v>0.00347222222222222</v>
      </c>
      <c r="F21" s="26" t="n">
        <v>0</v>
      </c>
      <c r="G21" s="27" t="s">
        <v>134</v>
      </c>
      <c r="H21" s="28"/>
      <c r="I21" s="11" t="s">
        <v>187</v>
      </c>
    </row>
    <row r="22" customFormat="false" ht="37.5" hidden="false" customHeight="true" outlineLevel="0" collapsed="false">
      <c r="A22" s="21" t="n">
        <v>18</v>
      </c>
      <c r="B22" s="37" t="s">
        <v>85</v>
      </c>
      <c r="C22" s="23" t="s">
        <v>188</v>
      </c>
      <c r="D22" s="34" t="s">
        <v>154</v>
      </c>
      <c r="E22" s="25" t="n">
        <v>0.0208333333333333</v>
      </c>
      <c r="F22" s="30" t="n">
        <v>0.0208333333333333</v>
      </c>
      <c r="G22" s="31" t="s">
        <v>144</v>
      </c>
      <c r="H22" s="32" t="s">
        <v>189</v>
      </c>
      <c r="I22" s="11" t="s">
        <v>190</v>
      </c>
    </row>
    <row r="23" customFormat="false" ht="37.5" hidden="false" customHeight="true" outlineLevel="0" collapsed="false">
      <c r="A23" s="21" t="n">
        <v>19</v>
      </c>
      <c r="B23" s="37" t="s">
        <v>85</v>
      </c>
      <c r="C23" s="23" t="s">
        <v>191</v>
      </c>
      <c r="D23" s="24" t="s">
        <v>186</v>
      </c>
      <c r="E23" s="25" t="n">
        <v>0.00138888888888889</v>
      </c>
      <c r="F23" s="26" t="n">
        <v>0</v>
      </c>
      <c r="G23" s="27" t="s">
        <v>134</v>
      </c>
      <c r="H23" s="28"/>
      <c r="I23" s="11" t="s">
        <v>192</v>
      </c>
    </row>
    <row r="24" customFormat="false" ht="37.5" hidden="false" customHeight="true" outlineLevel="0" collapsed="false">
      <c r="A24" s="21" t="n">
        <v>20</v>
      </c>
      <c r="B24" s="38" t="s">
        <v>114</v>
      </c>
      <c r="C24" s="23" t="s">
        <v>193</v>
      </c>
      <c r="D24" s="24" t="s">
        <v>194</v>
      </c>
      <c r="E24" s="25" t="n">
        <v>0.0104166666666667</v>
      </c>
      <c r="F24" s="26" t="n">
        <v>0</v>
      </c>
      <c r="G24" s="27" t="s">
        <v>134</v>
      </c>
      <c r="H24" s="28"/>
      <c r="I24" s="11" t="s">
        <v>195</v>
      </c>
    </row>
    <row r="25" customFormat="false" ht="37.5" hidden="false" customHeight="true" outlineLevel="0" collapsed="false">
      <c r="A25" s="21" t="n">
        <v>21</v>
      </c>
      <c r="B25" s="38" t="s">
        <v>114</v>
      </c>
      <c r="C25" s="23" t="s">
        <v>196</v>
      </c>
      <c r="D25" s="34" t="s">
        <v>175</v>
      </c>
      <c r="E25" s="25" t="n">
        <v>0.125</v>
      </c>
      <c r="F25" s="30" t="n">
        <v>0.125</v>
      </c>
      <c r="G25" s="31" t="s">
        <v>144</v>
      </c>
      <c r="H25" s="32" t="s">
        <v>176</v>
      </c>
      <c r="I25" s="11" t="s">
        <v>197</v>
      </c>
    </row>
    <row r="27" customFormat="false" ht="27.75" hidden="false" customHeight="true" outlineLevel="0" collapsed="false">
      <c r="C27" s="39" t="s">
        <v>198</v>
      </c>
      <c r="E27" s="40" t="n">
        <f aca="false">SUM(E5:E25)</f>
        <v>0.4321875</v>
      </c>
      <c r="F27" s="41" t="n">
        <f aca="false">SUM(F5:F25)</f>
        <v>0.203472222222222</v>
      </c>
      <c r="G27" s="42" t="s">
        <v>199</v>
      </c>
      <c r="H27" s="42"/>
      <c r="I27" s="42"/>
    </row>
  </sheetData>
  <mergeCells count="5">
    <mergeCell ref="A1:I1"/>
    <mergeCell ref="A2:C2"/>
    <mergeCell ref="E2:F2"/>
    <mergeCell ref="H2:I2"/>
    <mergeCell ref="G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38"/>
  </cols>
  <sheetData>
    <row r="2" customFormat="false" ht="27.75" hidden="false" customHeight="true" outlineLevel="0" collapsed="false">
      <c r="B2" s="43" t="s">
        <v>200</v>
      </c>
      <c r="C2" s="43"/>
      <c r="D2" s="43"/>
      <c r="E2" s="43"/>
      <c r="F2" s="43"/>
    </row>
    <row r="4" customFormat="false" ht="27.75" hidden="false" customHeight="true" outlineLevel="0" collapsed="false">
      <c r="B4" s="7" t="s">
        <v>130</v>
      </c>
      <c r="C4" s="7" t="s">
        <v>201</v>
      </c>
      <c r="D4" s="7" t="s">
        <v>202</v>
      </c>
      <c r="E4" s="7" t="s">
        <v>203</v>
      </c>
      <c r="F4" s="7" t="s">
        <v>204</v>
      </c>
    </row>
    <row r="5" customFormat="false" ht="60" hidden="false" customHeight="true" outlineLevel="0" collapsed="false">
      <c r="B5" s="44" t="s">
        <v>176</v>
      </c>
      <c r="C5" s="45" t="s">
        <v>205</v>
      </c>
      <c r="D5" s="46" t="s">
        <v>206</v>
      </c>
      <c r="E5" s="33" t="s">
        <v>207</v>
      </c>
      <c r="F5" s="11" t="s">
        <v>208</v>
      </c>
    </row>
    <row r="6" customFormat="false" ht="60" hidden="false" customHeight="true" outlineLevel="0" collapsed="false">
      <c r="B6" s="44" t="s">
        <v>155</v>
      </c>
      <c r="C6" s="45" t="s">
        <v>209</v>
      </c>
      <c r="D6" s="46" t="s">
        <v>154</v>
      </c>
      <c r="E6" s="33" t="s">
        <v>210</v>
      </c>
      <c r="F6" s="11" t="s">
        <v>211</v>
      </c>
    </row>
    <row r="7" customFormat="false" ht="60" hidden="false" customHeight="true" outlineLevel="0" collapsed="false">
      <c r="B7" s="44" t="s">
        <v>189</v>
      </c>
      <c r="C7" s="45" t="s">
        <v>212</v>
      </c>
      <c r="D7" s="46" t="s">
        <v>154</v>
      </c>
      <c r="E7" s="33" t="s">
        <v>213</v>
      </c>
      <c r="F7" s="11" t="s">
        <v>214</v>
      </c>
    </row>
    <row r="8" customFormat="false" ht="60" hidden="false" customHeight="true" outlineLevel="0" collapsed="false">
      <c r="B8" s="44" t="s">
        <v>145</v>
      </c>
      <c r="C8" s="45" t="s">
        <v>215</v>
      </c>
      <c r="D8" s="46" t="s">
        <v>216</v>
      </c>
      <c r="E8" s="33" t="s">
        <v>217</v>
      </c>
      <c r="F8" s="11" t="s">
        <v>218</v>
      </c>
    </row>
    <row r="9" customFormat="false" ht="60" hidden="false" customHeight="true" outlineLevel="0" collapsed="false">
      <c r="B9" s="44" t="s">
        <v>183</v>
      </c>
      <c r="C9" s="45" t="s">
        <v>219</v>
      </c>
      <c r="D9" s="46" t="s">
        <v>220</v>
      </c>
      <c r="E9" s="33" t="s">
        <v>221</v>
      </c>
      <c r="F9" s="11" t="s">
        <v>222</v>
      </c>
    </row>
    <row r="12" customFormat="false" ht="24" hidden="false" customHeight="true" outlineLevel="0" collapsed="false">
      <c r="B12" s="5" t="s">
        <v>223</v>
      </c>
      <c r="C12" s="5"/>
      <c r="D12" s="5"/>
      <c r="E12" s="5"/>
      <c r="F12" s="5"/>
    </row>
    <row r="13" customFormat="false" ht="21.75" hidden="false" customHeight="true" outlineLevel="0" collapsed="false">
      <c r="B13" s="32" t="s">
        <v>176</v>
      </c>
      <c r="C13" s="31" t="s">
        <v>224</v>
      </c>
      <c r="D13" s="46" t="s">
        <v>175</v>
      </c>
      <c r="E13" s="47" t="s">
        <v>225</v>
      </c>
      <c r="F13" s="47"/>
    </row>
    <row r="14" customFormat="false" ht="21.75" hidden="false" customHeight="true" outlineLevel="0" collapsed="false">
      <c r="B14" s="32" t="s">
        <v>155</v>
      </c>
      <c r="C14" s="31" t="s">
        <v>226</v>
      </c>
      <c r="D14" s="46" t="s">
        <v>154</v>
      </c>
      <c r="E14" s="47" t="s">
        <v>227</v>
      </c>
      <c r="F14" s="47"/>
    </row>
    <row r="15" customFormat="false" ht="21.75" hidden="false" customHeight="true" outlineLevel="0" collapsed="false">
      <c r="B15" s="32" t="s">
        <v>189</v>
      </c>
      <c r="C15" s="31" t="s">
        <v>228</v>
      </c>
      <c r="D15" s="46" t="s">
        <v>154</v>
      </c>
      <c r="E15" s="47" t="s">
        <v>229</v>
      </c>
      <c r="F15" s="47"/>
    </row>
    <row r="16" customFormat="false" ht="21.75" hidden="false" customHeight="true" outlineLevel="0" collapsed="false">
      <c r="B16" s="32" t="s">
        <v>145</v>
      </c>
      <c r="C16" s="31" t="s">
        <v>230</v>
      </c>
      <c r="D16" s="46" t="s">
        <v>220</v>
      </c>
      <c r="E16" s="47" t="s">
        <v>231</v>
      </c>
      <c r="F16" s="47"/>
    </row>
    <row r="17" customFormat="false" ht="21.75" hidden="false" customHeight="true" outlineLevel="0" collapsed="false">
      <c r="B17" s="32" t="s">
        <v>183</v>
      </c>
      <c r="C17" s="31" t="s">
        <v>228</v>
      </c>
      <c r="D17" s="46" t="s">
        <v>175</v>
      </c>
      <c r="E17" s="47" t="s">
        <v>232</v>
      </c>
      <c r="F17" s="47"/>
    </row>
    <row r="18" customFormat="false" ht="27.75" hidden="false" customHeight="true" outlineLevel="0" collapsed="false">
      <c r="B18" s="48" t="s">
        <v>233</v>
      </c>
      <c r="C18" s="49" t="s">
        <v>234</v>
      </c>
      <c r="D18" s="50" t="s">
        <v>235</v>
      </c>
      <c r="E18" s="50"/>
      <c r="F18" s="50"/>
    </row>
  </sheetData>
  <mergeCells count="8">
    <mergeCell ref="B2:F2"/>
    <mergeCell ref="B12:F12"/>
    <mergeCell ref="E13:F13"/>
    <mergeCell ref="E14:F14"/>
    <mergeCell ref="E15:F15"/>
    <mergeCell ref="E16:F16"/>
    <mergeCell ref="E17:F17"/>
    <mergeCell ref="D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18"/>
  </cols>
  <sheetData>
    <row r="2" customFormat="false" ht="25.5" hidden="false" customHeight="true" outlineLevel="0" collapsed="false">
      <c r="B2" s="6" t="s">
        <v>236</v>
      </c>
      <c r="C2" s="6"/>
      <c r="D2" s="6"/>
      <c r="E2" s="6"/>
      <c r="F2" s="6"/>
    </row>
    <row r="3" customFormat="false" ht="24" hidden="false" customHeight="true" outlineLevel="0" collapsed="false">
      <c r="B3" s="51" t="s">
        <v>237</v>
      </c>
      <c r="C3" s="51"/>
      <c r="D3" s="51"/>
      <c r="E3" s="51"/>
      <c r="F3" s="51"/>
    </row>
    <row r="5" customFormat="false" ht="24" hidden="false" customHeight="true" outlineLevel="0" collapsed="false">
      <c r="B5" s="52" t="s">
        <v>238</v>
      </c>
      <c r="C5" s="52"/>
      <c r="D5" s="52"/>
      <c r="E5" s="52"/>
      <c r="F5" s="52"/>
    </row>
    <row r="6" customFormat="false" ht="25.5" hidden="false" customHeight="true" outlineLevel="0" collapsed="false">
      <c r="B6" s="7" t="s">
        <v>239</v>
      </c>
      <c r="C6" s="7" t="s">
        <v>240</v>
      </c>
      <c r="D6" s="7" t="s">
        <v>241</v>
      </c>
      <c r="E6" s="7" t="s">
        <v>242</v>
      </c>
      <c r="F6" s="7" t="s">
        <v>243</v>
      </c>
    </row>
    <row r="7" customFormat="false" ht="25.5" hidden="false" customHeight="true" outlineLevel="0" collapsed="false">
      <c r="B7" s="53" t="s">
        <v>244</v>
      </c>
      <c r="C7" s="53" t="s">
        <v>245</v>
      </c>
      <c r="D7" s="53" t="s">
        <v>246</v>
      </c>
      <c r="E7" s="53" t="s">
        <v>247</v>
      </c>
      <c r="F7" s="53" t="s">
        <v>248</v>
      </c>
    </row>
    <row r="8" customFormat="false" ht="19.5" hidden="false" customHeight="true" outlineLevel="0" collapsed="false">
      <c r="B8" s="54" t="s">
        <v>249</v>
      </c>
      <c r="C8" s="54"/>
      <c r="D8" s="54"/>
      <c r="E8" s="54"/>
      <c r="F8" s="54"/>
    </row>
    <row r="10" customFormat="false" ht="24" hidden="false" customHeight="true" outlineLevel="0" collapsed="false">
      <c r="B10" s="52" t="s">
        <v>250</v>
      </c>
      <c r="C10" s="52"/>
      <c r="D10" s="52"/>
      <c r="E10" s="52"/>
      <c r="F10" s="52"/>
    </row>
    <row r="11" customFormat="false" ht="25.5" hidden="false" customHeight="true" outlineLevel="0" collapsed="false">
      <c r="B11" s="7" t="s">
        <v>251</v>
      </c>
      <c r="C11" s="7" t="s">
        <v>252</v>
      </c>
      <c r="D11" s="7" t="s">
        <v>253</v>
      </c>
      <c r="E11" s="7" t="s">
        <v>254</v>
      </c>
      <c r="F11" s="7" t="s">
        <v>255</v>
      </c>
    </row>
    <row r="12" customFormat="false" ht="25.5" hidden="false" customHeight="true" outlineLevel="0" collapsed="false">
      <c r="B12" s="53" t="s">
        <v>256</v>
      </c>
      <c r="C12" s="53" t="s">
        <v>257</v>
      </c>
      <c r="D12" s="53" t="s">
        <v>258</v>
      </c>
      <c r="E12" s="53" t="s">
        <v>259</v>
      </c>
      <c r="F12" s="53" t="s">
        <v>260</v>
      </c>
    </row>
    <row r="14" customFormat="false" ht="24" hidden="false" customHeight="true" outlineLevel="0" collapsed="false">
      <c r="B14" s="52" t="s">
        <v>261</v>
      </c>
      <c r="C14" s="52"/>
      <c r="D14" s="52"/>
      <c r="E14" s="52"/>
      <c r="F14" s="52"/>
    </row>
    <row r="15" customFormat="false" ht="25.5" hidden="false" customHeight="true" outlineLevel="0" collapsed="false">
      <c r="B15" s="7" t="s">
        <v>262</v>
      </c>
      <c r="C15" s="7" t="s">
        <v>252</v>
      </c>
      <c r="D15" s="7" t="s">
        <v>263</v>
      </c>
      <c r="E15" s="7" t="s">
        <v>264</v>
      </c>
      <c r="F15" s="7" t="s">
        <v>265</v>
      </c>
    </row>
    <row r="16" customFormat="false" ht="25.5" hidden="false" customHeight="true" outlineLevel="0" collapsed="false">
      <c r="B16" s="53" t="s">
        <v>266</v>
      </c>
      <c r="C16" s="53" t="s">
        <v>267</v>
      </c>
      <c r="D16" s="53" t="s">
        <v>268</v>
      </c>
      <c r="E16" s="53" t="s">
        <v>269</v>
      </c>
      <c r="F16" s="53" t="s">
        <v>270</v>
      </c>
    </row>
    <row r="17" customFormat="false" ht="31.5" hidden="false" customHeight="true" outlineLevel="0" collapsed="false">
      <c r="B17" s="55" t="s">
        <v>271</v>
      </c>
      <c r="C17" s="55"/>
      <c r="D17" s="55"/>
      <c r="E17" s="55"/>
      <c r="F17" s="55"/>
    </row>
    <row r="19" customFormat="false" ht="24" hidden="false" customHeight="true" outlineLevel="0" collapsed="false">
      <c r="B19" s="52" t="s">
        <v>272</v>
      </c>
      <c r="C19" s="52"/>
      <c r="D19" s="52"/>
      <c r="E19" s="52"/>
      <c r="F19" s="52"/>
    </row>
    <row r="20" customFormat="false" ht="279.75" hidden="false" customHeight="true" outlineLevel="0" collapsed="false">
      <c r="B20" s="56" t="s">
        <v>273</v>
      </c>
      <c r="C20" s="56"/>
      <c r="D20" s="56"/>
      <c r="E20" s="56"/>
      <c r="F20" s="56"/>
    </row>
  </sheetData>
  <mergeCells count="9">
    <mergeCell ref="B2:F2"/>
    <mergeCell ref="B3:F3"/>
    <mergeCell ref="B5:F5"/>
    <mergeCell ref="B8:F8"/>
    <mergeCell ref="B10:F10"/>
    <mergeCell ref="B14:F14"/>
    <mergeCell ref="B17:F17"/>
    <mergeCell ref="B19:F19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35"/>
  </cols>
  <sheetData>
    <row r="2" customFormat="false" ht="27.75" hidden="false" customHeight="true" outlineLevel="0" collapsed="false">
      <c r="B2" s="43" t="s">
        <v>274</v>
      </c>
      <c r="C2" s="43"/>
      <c r="D2" s="43"/>
      <c r="E2" s="43"/>
      <c r="F2" s="43"/>
    </row>
    <row r="4" customFormat="false" ht="27.75" hidden="false" customHeight="true" outlineLevel="0" collapsed="false">
      <c r="B4" s="7" t="s">
        <v>275</v>
      </c>
      <c r="C4" s="7" t="s">
        <v>276</v>
      </c>
      <c r="D4" s="7" t="s">
        <v>277</v>
      </c>
      <c r="E4" s="7" t="s">
        <v>278</v>
      </c>
      <c r="F4" s="7" t="s">
        <v>279</v>
      </c>
    </row>
    <row r="5" customFormat="false" ht="36" hidden="false" customHeight="true" outlineLevel="0" collapsed="false">
      <c r="B5" s="57" t="s">
        <v>280</v>
      </c>
      <c r="C5" s="58" t="s">
        <v>281</v>
      </c>
      <c r="D5" s="59" t="s">
        <v>234</v>
      </c>
      <c r="E5" s="60" t="s">
        <v>282</v>
      </c>
      <c r="F5" s="11" t="s">
        <v>283</v>
      </c>
    </row>
    <row r="6" customFormat="false" ht="36" hidden="false" customHeight="true" outlineLevel="0" collapsed="false">
      <c r="B6" s="57" t="s">
        <v>284</v>
      </c>
      <c r="C6" s="58" t="s">
        <v>285</v>
      </c>
      <c r="D6" s="59" t="s">
        <v>286</v>
      </c>
      <c r="E6" s="60" t="s">
        <v>287</v>
      </c>
      <c r="F6" s="11" t="s">
        <v>288</v>
      </c>
    </row>
    <row r="7" customFormat="false" ht="36" hidden="false" customHeight="true" outlineLevel="0" collapsed="false">
      <c r="B7" s="57" t="s">
        <v>289</v>
      </c>
      <c r="C7" s="58" t="s">
        <v>290</v>
      </c>
      <c r="D7" s="59" t="s">
        <v>291</v>
      </c>
      <c r="E7" s="60" t="s">
        <v>292</v>
      </c>
      <c r="F7" s="11" t="s">
        <v>293</v>
      </c>
    </row>
    <row r="8" customFormat="false" ht="36" hidden="false" customHeight="true" outlineLevel="0" collapsed="false">
      <c r="B8" s="57" t="s">
        <v>294</v>
      </c>
      <c r="C8" s="58" t="s">
        <v>295</v>
      </c>
      <c r="D8" s="59" t="s">
        <v>296</v>
      </c>
      <c r="E8" s="60" t="s">
        <v>297</v>
      </c>
      <c r="F8" s="11" t="s">
        <v>298</v>
      </c>
    </row>
    <row r="9" customFormat="false" ht="36" hidden="false" customHeight="true" outlineLevel="0" collapsed="false">
      <c r="B9" s="57" t="s">
        <v>299</v>
      </c>
      <c r="C9" s="58" t="s">
        <v>300</v>
      </c>
      <c r="D9" s="59" t="s">
        <v>301</v>
      </c>
      <c r="E9" s="60" t="s">
        <v>302</v>
      </c>
      <c r="F9" s="11" t="s">
        <v>303</v>
      </c>
    </row>
    <row r="10" customFormat="false" ht="36" hidden="false" customHeight="true" outlineLevel="0" collapsed="false">
      <c r="B10" s="57" t="s">
        <v>304</v>
      </c>
      <c r="C10" s="58" t="s">
        <v>305</v>
      </c>
      <c r="D10" s="59" t="s">
        <v>306</v>
      </c>
      <c r="E10" s="60" t="s">
        <v>160</v>
      </c>
      <c r="F10" s="11" t="s">
        <v>307</v>
      </c>
    </row>
    <row r="11" customFormat="false" ht="36" hidden="false" customHeight="true" outlineLevel="0" collapsed="false">
      <c r="B11" s="57" t="s">
        <v>308</v>
      </c>
      <c r="C11" s="58" t="s">
        <v>309</v>
      </c>
      <c r="D11" s="59" t="s">
        <v>310</v>
      </c>
      <c r="E11" s="60" t="s">
        <v>160</v>
      </c>
      <c r="F11" s="11" t="s">
        <v>311</v>
      </c>
    </row>
    <row r="14" customFormat="false" ht="30" hidden="false" customHeight="true" outlineLevel="0" collapsed="false">
      <c r="B14" s="61" t="s">
        <v>312</v>
      </c>
      <c r="C14" s="61"/>
      <c r="D14" s="61"/>
      <c r="E14" s="61"/>
      <c r="F14" s="61"/>
    </row>
    <row r="15" customFormat="false" ht="24" hidden="false" customHeight="true" outlineLevel="0" collapsed="false">
      <c r="B15" s="62" t="s">
        <v>313</v>
      </c>
      <c r="C15" s="62"/>
      <c r="D15" s="62"/>
      <c r="E15" s="62"/>
      <c r="F15" s="62"/>
    </row>
    <row r="16" customFormat="false" ht="24" hidden="false" customHeight="true" outlineLevel="0" collapsed="false">
      <c r="B16" s="62" t="s">
        <v>314</v>
      </c>
      <c r="C16" s="62"/>
      <c r="D16" s="62"/>
      <c r="E16" s="62"/>
      <c r="F16" s="62"/>
    </row>
    <row r="17" customFormat="false" ht="24" hidden="false" customHeight="true" outlineLevel="0" collapsed="false">
      <c r="B17" s="62" t="s">
        <v>315</v>
      </c>
      <c r="C17" s="62"/>
      <c r="D17" s="62"/>
      <c r="E17" s="62"/>
      <c r="F17" s="62"/>
    </row>
    <row r="18" customFormat="false" ht="24" hidden="false" customHeight="true" outlineLevel="0" collapsed="false">
      <c r="B18" s="62" t="s">
        <v>316</v>
      </c>
      <c r="C18" s="62"/>
      <c r="D18" s="62"/>
      <c r="E18" s="62"/>
      <c r="F18" s="62"/>
    </row>
    <row r="19" customFormat="false" ht="24" hidden="false" customHeight="true" outlineLevel="0" collapsed="false">
      <c r="B19" s="62" t="s">
        <v>317</v>
      </c>
      <c r="C19" s="62"/>
      <c r="D19" s="62"/>
      <c r="E19" s="62"/>
      <c r="F19" s="62"/>
    </row>
    <row r="22" customFormat="false" ht="25.5" hidden="false" customHeight="true" outlineLevel="0" collapsed="false">
      <c r="B22" s="52" t="s">
        <v>318</v>
      </c>
      <c r="C22" s="52"/>
      <c r="D22" s="52"/>
      <c r="E22" s="52"/>
      <c r="F22" s="52"/>
    </row>
    <row r="23" customFormat="false" ht="60" hidden="false" customHeight="true" outlineLevel="0" collapsed="false">
      <c r="B23" s="62" t="s">
        <v>319</v>
      </c>
      <c r="C23" s="62"/>
      <c r="D23" s="62"/>
      <c r="E23" s="62"/>
      <c r="F23" s="62"/>
    </row>
    <row r="25" customFormat="false" ht="25.5" hidden="false" customHeight="true" outlineLevel="0" collapsed="false">
      <c r="B25" s="52" t="s">
        <v>22</v>
      </c>
      <c r="C25" s="52"/>
      <c r="D25" s="52"/>
      <c r="E25" s="52"/>
      <c r="F25" s="52"/>
    </row>
  </sheetData>
  <mergeCells count="10">
    <mergeCell ref="B2:F2"/>
    <mergeCell ref="B14:F14"/>
    <mergeCell ref="B15:F15"/>
    <mergeCell ref="B16:F16"/>
    <mergeCell ref="B17:F17"/>
    <mergeCell ref="B18:F18"/>
    <mergeCell ref="B19:F19"/>
    <mergeCell ref="B22:F22"/>
    <mergeCell ref="B23:F23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2026-05-13T02:51:59Z</dcterms:created>
  <dc:creator>openpyxl</dc:creator>
  <dc:description/>
  <dc:language>en-US</dc:language>
  <cp:lastModifiedBy/>
  <dcterms:modified xsi:type="dcterms:W3CDTF">2026-05-13T02:51:59Z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
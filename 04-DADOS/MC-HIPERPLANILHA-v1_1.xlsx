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12.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worksheets/sheet8.xml" ContentType="application/vnd.openxmlformats-officedocument.spreadsheetml.worksheet+xml"/>
  <Override PartName="/xl/worksheets/sheet14.xml" ContentType="application/vnd.openxmlformats-officedocument.spreadsheetml.worksheet+xml"/>
  <Override PartName="/xl/worksheets/sheet9.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00_Capa" sheetId="1" state="visible" r:id="rId3"/>
    <sheet name="01_Parametros_Mestre" sheetId="2" state="visible" r:id="rId4"/>
    <sheet name="02_Equipe_Salarios" sheetId="3" state="visible" r:id="rId5"/>
    <sheet name="03_COGS_Unit_Economics" sheetId="4" state="visible" r:id="rId6"/>
    <sheet name="04_Tempo_Tela_Detalhado" sheetId="5" state="visible" r:id="rId7"/>
    <sheet name="05_Dor_Monetaria_Persona" sheetId="6" state="visible" r:id="rId8"/>
    <sheet name="06_Corredor_Preco_Defensavel" sheetId="7" state="visible" r:id="rId9"/>
    <sheet name="07_Break_Even_Cenarios" sheetId="8" state="visible" r:id="rId10"/>
    <sheet name="08_Projecao_12_Meses" sheetId="9" state="visible" r:id="rId11"/>
    <sheet name="09_Sensibilidade" sheetId="10" state="visible" r:id="rId12"/>
    <sheet name="10_Red_Team" sheetId="11" state="visible" r:id="rId13"/>
    <sheet name="11_Expansao_Internacional" sheetId="12" state="visible" r:id="rId14"/>
    <sheet name="12_Fontes_Ancoras" sheetId="13" state="visible" r:id="rId15"/>
    <sheet name="13_Auditoria_Pendente" sheetId="14" state="visible" r:id="rId1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<sst xmlns="http://schemas.openxmlformats.org/spreadsheetml/2006/main" count="1625" uniqueCount="1304">
  <si>
    <t xml:space="preserve">MEU CUMPADRE — HIPERPLANILHA DE CUSTOS E PRECIFICAÇÃO</t>
  </si>
  <si>
    <t xml:space="preserve">Infraestrutura tecnológica de orquestração documental previdenciária para hipervulneráveis</t>
  </si>
  <si>
    <t xml:space="preserve">Documento:</t>
  </si>
  <si>
    <t xml:space="preserve">MC-HIPERPLANILHA-Custos-Precificacao-v1_0-2026-0419</t>
  </si>
  <si>
    <t xml:space="preserve">Versão:</t>
  </si>
  <si>
    <t xml:space="preserve">1.0 — construída a partir do MC-CONTEXTO-MESTRE-Prompt-Opus47-v1_0</t>
  </si>
  <si>
    <t xml:space="preserve">Data:</t>
  </si>
  <si>
    <t xml:space="preserve">2026-04-19</t>
  </si>
  <si>
    <t xml:space="preserve">Autor:</t>
  </si>
  <si>
    <t xml:space="preserve">Claude (co-founder intelectual)</t>
  </si>
  <si>
    <t xml:space="preserve">Decidido por:</t>
  </si>
  <si>
    <t xml:space="preserve">Alessandro de Souza Neves — Founder/CEO — ex-servidor INSS 22 anos</t>
  </si>
  <si>
    <t xml:space="preserve">Status:</t>
  </si>
  <si>
    <t xml:space="preserve">PROVISIONAL — Master Context sujeito a revisão Opus 4.7 v3.0 (decisão Founder 2026-04-19 noite)</t>
  </si>
  <si>
    <t xml:space="preserve">Hash:</t>
  </si>
  <si>
    <t xml:space="preserve">[A GERAR APÓS SELAMENTO v3.0 — SHA-256 + RFC 3161 ICP-Brasil. Não gerar enquanto v1.1 provisional.]</t>
  </si>
  <si>
    <t xml:space="preserve">Classificação:</t>
  </si>
  <si>
    <t xml:space="preserve">CONFIDENCIAL — INTERNO SÊNIOR</t>
  </si>
  <si>
    <t xml:space="preserve">DNA-MESTRE (Master Context — 19/04/2026)</t>
  </si>
  <si>
    <t xml:space="preserve">Identidade</t>
  </si>
  <si>
    <t xml:space="preserve">Fiduciário Digital de Dossiês Previdenciários — categoria regulatória nova, NÃO advocacia</t>
  </si>
  <si>
    <t xml:space="preserve">CNAE</t>
  </si>
  <si>
    <t xml:space="preserve">6201-5/01 — Desenvolvimento de programas de computador sob encomenda</t>
  </si>
  <si>
    <t xml:space="preserve">Foco-lock</t>
  </si>
  <si>
    <t xml:space="preserve">B2C Φ₁ máximo (hipervulnerável direto) | B2B Φ₂ residual (advogado só quando inevitável)</t>
  </si>
  <si>
    <t xml:space="preserve">Preço oficial Φ₁</t>
  </si>
  <si>
    <t xml:space="preserve">R$ 1.500 flat, 3× PIX, nacional, sem tier</t>
  </si>
  <si>
    <t xml:space="preserve">Corredor defensável</t>
  </si>
  <si>
    <t xml:space="preserve">Piso R$ 1.200 | Sweet spot R$ 1.500 | Teto R$ 2.500</t>
  </si>
  <si>
    <t xml:space="preserve">COGS-garage oficial</t>
  </si>
  <si>
    <t xml:space="preserve">R$ 529/caso (operador + fração supervisor + infra + tributos)</t>
  </si>
  <si>
    <t xml:space="preserve">Break-even</t>
  </si>
  <si>
    <t xml:space="preserve">22 casos/mês na garagem</t>
  </si>
  <si>
    <t xml:space="preserve">Margem alvo</t>
  </si>
  <si>
    <t xml:space="preserve">74–84% (alvo pós-escala + bot + mix otimizado) | 50–64% (baseline Crisálida caso-a-caso)</t>
  </si>
  <si>
    <t xml:space="preserve">Piloto viável</t>
  </si>
  <si>
    <t xml:space="preserve">N=150 casos / 6 operadores / 90 dias (NÃO N=500 / 18 operadores)</t>
  </si>
  <si>
    <t xml:space="preserve">Âncora psicológica</t>
  </si>
  <si>
    <t xml:space="preserve">R$ 12.000 = dor monetária real do hipervulnerável na jornada convencional</t>
  </si>
  <si>
    <t xml:space="preserve">Desconto MC</t>
  </si>
  <si>
    <t xml:space="preserve">87,5% sobre a dor convencional | 7×-23× mais barato que escritório tradicional</t>
  </si>
  <si>
    <t xml:space="preserve">Postura</t>
  </si>
  <si>
    <t xml:space="preserve">Mago-lógico + Hellinger | Dignidade &gt; Compliance &gt; Viabilidade</t>
  </si>
  <si>
    <t xml:space="preserve">Fase atual</t>
  </si>
  <si>
    <t xml:space="preserve">Crisálida (abr-dez/2026) → Armadura Borboleta (jan/2027)</t>
  </si>
  <si>
    <t xml:space="preserve">SUMÁRIO DAS ABAS</t>
  </si>
  <si>
    <t xml:space="preserve">00_Capa</t>
  </si>
  <si>
    <t xml:space="preserve">Esta aba — metadata, DNA-mestre, guia de uso</t>
  </si>
  <si>
    <t xml:space="preserve">01_Parametros_Mestre</t>
  </si>
  <si>
    <t xml:space="preserve">Parâmetros fixos do Master Context (amarelo = editáveis)</t>
  </si>
  <si>
    <t xml:space="preserve">02_Equipe_Salarios</t>
  </si>
  <si>
    <t xml:space="preserve">Folha mensal completa: operadores, supervisor, CEO, advogadas, Igor, Carlos, Marlon, Beto</t>
  </si>
  <si>
    <t xml:space="preserve">03_COGS_Unit_Economics</t>
  </si>
  <si>
    <t xml:space="preserve">Cálculo COGS R$529/caso — Rural B11, BPC, Urbano, com retry</t>
  </si>
  <si>
    <t xml:space="preserve">04_Tempo_Tela_Detalhado</t>
  </si>
  <si>
    <t xml:space="preserve">31 microfases E0→E7, tempo por espécie, multiplicador literacia 0</t>
  </si>
  <si>
    <t xml:space="preserve">05_Dor_Monetaria_Persona</t>
  </si>
  <si>
    <t xml:space="preserve">Custo real das alternativas — advogado interior, despachante, DIY, lan house</t>
  </si>
  <si>
    <t xml:space="preserve">06_Corredor_Preco_Defensavel</t>
  </si>
  <si>
    <t xml:space="preserve">R$1.200–2.500: por que R$1.500 é o sweet spot; anti-padrões</t>
  </si>
  <si>
    <t xml:space="preserve">07_Break_Even_Cenarios</t>
  </si>
  <si>
    <t xml:space="preserve">Break-even mensal em 4 cenários (garagem / piloto / operação compliant / escala)</t>
  </si>
  <si>
    <t xml:space="preserve">08_Projecao_12_Meses</t>
  </si>
  <si>
    <t xml:space="preserve">Receita/COGS/Margem mês-a-mês — crescimento crisálida → borboleta</t>
  </si>
  <si>
    <t xml:space="preserve">09_Sensibilidade</t>
  </si>
  <si>
    <t xml:space="preserve">Tornado chart: impacto de ±20% em cada variável na margem e no BE</t>
  </si>
  <si>
    <t xml:space="preserve">10_Red_Team</t>
  </si>
  <si>
    <t xml:space="preserve">Ataques adversariais + refutação + ataque residual + plano de mitigação</t>
  </si>
  <si>
    <t xml:space="preserve">11_Expansao_Internacional</t>
  </si>
  <si>
    <t xml:space="preserve">Fase 1 (México/Colômbia) → Fase 2 (Índia/Indonésia) → Fase 3 (EUA)</t>
  </si>
  <si>
    <t xml:space="preserve">12_Fontes_Ancoras</t>
  </si>
  <si>
    <t xml:space="preserve">Referências cruzadas, ADRs, BEPS, fontes documentais</t>
  </si>
  <si>
    <t xml:space="preserve">13_Auditoria_Pendente</t>
  </si>
  <si>
    <t xml:space="preserve">⚠ BLOCO ABERTO — 3 inconsistências numéricas detectadas em 19/04/2026. Mandato para Opus 4.7 v3.0.</t>
  </si>
  <si>
    <t xml:space="preserve">LEGENDA DE CORES</t>
  </si>
  <si>
    <t xml:space="preserve">Azul + fundo amarelo</t>
  </si>
  <si>
    <t xml:space="preserve">Input editável — cenários, premissas e parâmetros Master Context</t>
  </si>
  <si>
    <t xml:space="preserve">Preto (negrito)</t>
  </si>
  <si>
    <t xml:space="preserve">Fórmula calculada — NÃO editar manualmente</t>
  </si>
  <si>
    <t xml:space="preserve">Verde</t>
  </si>
  <si>
    <t xml:space="preserve">Link entre abas (referência cruzada)</t>
  </si>
  <si>
    <t xml:space="preserve">Fundo vermelho</t>
  </si>
  <si>
    <t xml:space="preserve">Alerta / margem negativa / risco regulatório</t>
  </si>
  <si>
    <t xml:space="preserve">Fundo verde</t>
  </si>
  <si>
    <t xml:space="preserve">Saúde financeira / cenário positivo</t>
  </si>
  <si>
    <t xml:space="preserve">GUARDRAILS OBRIGATÓRIOS (Master Context §14)</t>
  </si>
  <si>
    <t xml:space="preserve">✗</t>
  </si>
  <si>
    <t xml:space="preserve">NÃO sugerir preço fora do corredor R$1.200-R$2.500</t>
  </si>
  <si>
    <t xml:space="preserve">NÃO propor modelo de cobrança variável (% benefício, hora, contingency fee)</t>
  </si>
  <si>
    <t xml:space="preserve">NÃO sugerir atuação que cruze para ato juridicizado (camada 3)</t>
  </si>
  <si>
    <t xml:space="preserve">NÃO reposicionar B2B-first — B2B é residual</t>
  </si>
  <si>
    <t xml:space="preserve">NÃO explicitar a tese Nubank/Fiduciário Digital em comunicação pública (segredo estratégico)</t>
  </si>
  <si>
    <t xml:space="preserve">NÃO citar REsp 2.079.440 sem mapeamento dos 5 descasamentos</t>
  </si>
  <si>
    <t xml:space="preserve">NÃO citar Ementa 069 sem doutrina de separação (14 reductiones)</t>
  </si>
  <si>
    <t xml:space="preserve">⚠</t>
  </si>
  <si>
    <t xml:space="preserve">DIRETRIZES VIGENTES v1.1 — sujeitas a revisão/flexibilização pelo Opus 4.7 na produção do v3.0. Não interpretar como absolutos até selamento final.</t>
  </si>
  <si>
    <t xml:space="preserve">PARÂMETROS MESTRE — MASTER CONTEXT 19/04/2026 (DNA-MESTRE)</t>
  </si>
  <si>
    <t xml:space="preserve">Todos os parâmetros em amarelo são Master Context e sobrepõem qualquer outro documento. Editáveis apenas pelo Founder em revisão formal.</t>
  </si>
  <si>
    <t xml:space="preserve">Parâmetro</t>
  </si>
  <si>
    <t xml:space="preserve">Valor</t>
  </si>
  <si>
    <t xml:space="preserve">Unidade</t>
  </si>
  <si>
    <t xml:space="preserve">Ref</t>
  </si>
  <si>
    <t xml:space="preserve">Fonte Master Context / Observação</t>
  </si>
  <si>
    <t xml:space="preserve">Criticidade</t>
  </si>
  <si>
    <t xml:space="preserve">§ EQUIPE E CUSTO-HORA (COGS-garagem)</t>
  </si>
  <si>
    <t xml:space="preserve">Salário operador API-Humano (base CLT)</t>
  </si>
  <si>
    <t xml:space="preserve">R$/mês</t>
  </si>
  <si>
    <t xml:space="preserve">P01</t>
  </si>
  <si>
    <t xml:space="preserve">Master Context §4</t>
  </si>
  <si>
    <t xml:space="preserve">CRÍTICO</t>
  </si>
  <si>
    <t xml:space="preserve">Encargos CLT (multiplicador)</t>
  </si>
  <si>
    <t xml:space="preserve">×</t>
  </si>
  <si>
    <t xml:space="preserve">P02</t>
  </si>
  <si>
    <t xml:space="preserve">FGTS + INSS patronal + férias + 13º + provisões</t>
  </si>
  <si>
    <t xml:space="preserve">Custo mensal operador (CLT pleno)</t>
  </si>
  <si>
    <t xml:space="preserve">P03</t>
  </si>
  <si>
    <t xml:space="preserve">Calculado: salário × encargos</t>
  </si>
  <si>
    <t xml:space="preserve">Horas produtivas/mês por operador</t>
  </si>
  <si>
    <t xml:space="preserve">horas</t>
  </si>
  <si>
    <t xml:space="preserve">P04</t>
  </si>
  <si>
    <t xml:space="preserve">Desconta intervalos, banheiro, retrabalho (Master §4)</t>
  </si>
  <si>
    <t xml:space="preserve">Custo-hora REAL (Master oficial)</t>
  </si>
  <si>
    <t xml:space="preserve">R$/h</t>
  </si>
  <si>
    <t xml:space="preserve">P05</t>
  </si>
  <si>
    <t xml:space="preserve">Master Context §4 — valor oficial (2.800 × 1,85 / 140,8)</t>
  </si>
  <si>
    <t xml:space="preserve">Supervisor (salário mensal)</t>
  </si>
  <si>
    <t xml:space="preserve">P06</t>
  </si>
  <si>
    <t xml:space="preserve">ALTO</t>
  </si>
  <si>
    <t xml:space="preserve">Operadores por supervisor (piloto)</t>
  </si>
  <si>
    <t xml:space="preserve">operadores</t>
  </si>
  <si>
    <t xml:space="preserve">P07</t>
  </si>
  <si>
    <t xml:space="preserve">Master §4 — diluição 1:6</t>
  </si>
  <si>
    <t xml:space="preserve">Supervisor diluído por operador</t>
  </si>
  <si>
    <t xml:space="preserve">R$/mês/op</t>
  </si>
  <si>
    <t xml:space="preserve">P08</t>
  </si>
  <si>
    <t xml:space="preserve">Calculado: 5.800 / 6 = 966,67</t>
  </si>
  <si>
    <t xml:space="preserve">§ TEMPO-TELA POR CASO (Matriz v1.0 reconciliada)</t>
  </si>
  <si>
    <t xml:space="preserve">Tempo-tela Rural B11</t>
  </si>
  <si>
    <t xml:space="preserve">P10</t>
  </si>
  <si>
    <t xml:space="preserve">Master §4 — 903 min com retry + literacia 0</t>
  </si>
  <si>
    <t xml:space="preserve">Tempo-tela BPC B87/B88</t>
  </si>
  <si>
    <t xml:space="preserve">P11</t>
  </si>
  <si>
    <t xml:space="preserve">Master §4 — 844 min com retry</t>
  </si>
  <si>
    <t xml:space="preserve">Tempo-tela com retry retrabalho</t>
  </si>
  <si>
    <t xml:space="preserve">P12</t>
  </si>
  <si>
    <t xml:space="preserve">Master §4 — rural lit.0 pior caso</t>
  </si>
  <si>
    <t xml:space="preserve">Média de planejamento (oficial)</t>
  </si>
  <si>
    <t xml:space="preserve">h/caso</t>
  </si>
  <si>
    <t xml:space="preserve">P13</t>
  </si>
  <si>
    <t xml:space="preserve">Master §4 — valor de planejamento unitário</t>
  </si>
  <si>
    <t xml:space="preserve">§ COGS E PREÇO (Master oficial)</t>
  </si>
  <si>
    <t xml:space="preserve">COGS-garage MÉDIO (Master oficial)</t>
  </si>
  <si>
    <t xml:space="preserve">R$/caso</t>
  </si>
  <si>
    <t xml:space="preserve">P14</t>
  </si>
  <si>
    <t xml:space="preserve">Master §4 — operador + supervisor + infra + tributos</t>
  </si>
  <si>
    <t xml:space="preserve">Break-even piloto (preço mínimo)</t>
  </si>
  <si>
    <t xml:space="preserve">P15</t>
  </si>
  <si>
    <t xml:space="preserve">Master §4 — abaixo disso retrabalho não coberto</t>
  </si>
  <si>
    <t xml:space="preserve">Preço Φ₁ RECOMENDADO</t>
  </si>
  <si>
    <t xml:space="preserve">R$ flat</t>
  </si>
  <si>
    <t xml:space="preserve">P16</t>
  </si>
  <si>
    <t xml:space="preserve">Master §4 — 3× PIX, nacional, sem tier, sem upsell</t>
  </si>
  <si>
    <t xml:space="preserve">Margem bruta mínima (mix baixo)</t>
  </si>
  <si>
    <t xml:space="preserve">%</t>
  </si>
  <si>
    <t xml:space="preserve">P17</t>
  </si>
  <si>
    <t xml:space="preserve">Master §4 — 74% (ALVO pós-escala + mix + bot). Baseline Crisálida caso-a-caso: 50–64% (ver aba 03 reconciliação)</t>
  </si>
  <si>
    <t xml:space="preserve">Margem bruta máxima (mix alto)</t>
  </si>
  <si>
    <t xml:space="preserve">P18</t>
  </si>
  <si>
    <t xml:space="preserve">Master §4 — 84% (ALVO pós-escala + mix + bot). Baseline Crisálida caso-a-caso: 50–64% (ver aba 03 reconciliação)</t>
  </si>
  <si>
    <t xml:space="preserve">Ticket médio BEPS (benchmark)</t>
  </si>
  <si>
    <t xml:space="preserve">R$</t>
  </si>
  <si>
    <t xml:space="preserve">P19</t>
  </si>
  <si>
    <t xml:space="preserve">Master §4 — benchmark de mix de mercado</t>
  </si>
  <si>
    <t xml:space="preserve">REF</t>
  </si>
  <si>
    <t xml:space="preserve">§ CORREDOR DE PREÇO DEFENSÁVEL</t>
  </si>
  <si>
    <t xml:space="preserve">Piso do corredor</t>
  </si>
  <si>
    <t xml:space="preserve">P20</t>
  </si>
  <si>
    <t xml:space="preserve">Master §5 — abaixo: margem &lt;70%, risco operacional cresce</t>
  </si>
  <si>
    <t xml:space="preserve">Sweet spot oficial</t>
  </si>
  <si>
    <t xml:space="preserve">P21</t>
  </si>
  <si>
    <t xml:space="preserve">Master §5 — preço único, flat</t>
  </si>
  <si>
    <t xml:space="preserve">Teto do corredor</t>
  </si>
  <si>
    <t xml:space="preserve">P22</t>
  </si>
  <si>
    <t xml:space="preserve">Master §5 — acima: narrativa 'infraestrutura barata' quebra</t>
  </si>
  <si>
    <t xml:space="preserve">§ OPERAÇÃO E PILOTO</t>
  </si>
  <si>
    <t xml:space="preserve">Break-even mensal (casos)</t>
  </si>
  <si>
    <t xml:space="preserve">casos/mês</t>
  </si>
  <si>
    <t xml:space="preserve">P23</t>
  </si>
  <si>
    <t xml:space="preserve">Master §4 — oficial garagem</t>
  </si>
  <si>
    <t xml:space="preserve">Piloto viável — total de casos</t>
  </si>
  <si>
    <t xml:space="preserve">casos</t>
  </si>
  <si>
    <t xml:space="preserve">P24</t>
  </si>
  <si>
    <t xml:space="preserve">Master §4 — NÃO 500 com 18 operadores</t>
  </si>
  <si>
    <t xml:space="preserve">Piloto viável — prazo</t>
  </si>
  <si>
    <t xml:space="preserve">dias</t>
  </si>
  <si>
    <t xml:space="preserve">P25</t>
  </si>
  <si>
    <t xml:space="preserve">Master §4</t>
  </si>
  <si>
    <t xml:space="preserve">Piloto viável — operadores</t>
  </si>
  <si>
    <t xml:space="preserve">P26</t>
  </si>
  <si>
    <t xml:space="preserve">Score deferimento meta</t>
  </si>
  <si>
    <t xml:space="preserve">P27</t>
  </si>
  <si>
    <t xml:space="preserve">Master §10 — &gt;90% dossiê selado</t>
  </si>
  <si>
    <t xml:space="preserve">§ ÂNCORAS PSICOLÓGICAS (persona dor monetária)</t>
  </si>
  <si>
    <t xml:space="preserve">Dor monetária real hipervulnerável</t>
  </si>
  <si>
    <t xml:space="preserve">P28</t>
  </si>
  <si>
    <t xml:space="preserve">Master §4 — transporte+cópias+atravessadores+advogado+tempo</t>
  </si>
  <si>
    <t xml:space="preserve">Custo DIY mínimo (ocultos)</t>
  </si>
  <si>
    <t xml:space="preserve">P29</t>
  </si>
  <si>
    <t xml:space="preserve">Pesquisa — transporte + cópias + faltas trabalho</t>
  </si>
  <si>
    <t xml:space="preserve">Custo DIY máximo (ocultos)</t>
  </si>
  <si>
    <t xml:space="preserve">P30</t>
  </si>
  <si>
    <t xml:space="preserve">Pesquisa — jornada completa DIY com múltiplas idas</t>
  </si>
  <si>
    <t xml:space="preserve">Renda discricionária mensal média persona</t>
  </si>
  <si>
    <t xml:space="preserve">P31</t>
  </si>
  <si>
    <t xml:space="preserve">Pesquisa — lares 1-2 SM</t>
  </si>
  <si>
    <t xml:space="preserve">Desconto MC vs dor convencional</t>
  </si>
  <si>
    <t xml:space="preserve">P32</t>
  </si>
  <si>
    <t xml:space="preserve">Master §4 — (12.000-1.500)/12.000</t>
  </si>
  <si>
    <t xml:space="preserve">Multiplicador barateamento vs escritório convencional (min)</t>
  </si>
  <si>
    <t xml:space="preserve">P33</t>
  </si>
  <si>
    <t xml:space="preserve">Multiplicador barateamento vs escritório convencional (max)</t>
  </si>
  <si>
    <t xml:space="preserve">P34</t>
  </si>
  <si>
    <t xml:space="preserve">§ CONTEXTO INSS (BEPS 01/2026)</t>
  </si>
  <si>
    <t xml:space="preserve">Benefícios indeferidos indevidamente/ano</t>
  </si>
  <si>
    <t xml:space="preserve">casos/ano</t>
  </si>
  <si>
    <t xml:space="preserve">P35</t>
  </si>
  <si>
    <t xml:space="preserve">TCU — Master §10</t>
  </si>
  <si>
    <t xml:space="preserve">Taxa reversão judicial indeferimentos</t>
  </si>
  <si>
    <t xml:space="preserve">P36</t>
  </si>
  <si>
    <t xml:space="preserve">Master §10 — fila real</t>
  </si>
  <si>
    <t xml:space="preserve">Requerimentos &gt;45 dias (Nordeste)</t>
  </si>
  <si>
    <t xml:space="preserve">P37</t>
  </si>
  <si>
    <t xml:space="preserve">BEPS Jan/2026 — pesquisa anexa</t>
  </si>
  <si>
    <t xml:space="preserve">Taxa erro login gov.br</t>
  </si>
  <si>
    <t xml:space="preserve">P38</t>
  </si>
  <si>
    <t xml:space="preserve">Pesquisa — janeiro 2026 (+1.360% meta)</t>
  </si>
  <si>
    <t xml:space="preserve">Multiplicador literacia 0 (tempo-tela)</t>
  </si>
  <si>
    <t xml:space="preserve">P39</t>
  </si>
  <si>
    <t xml:space="preserve">Matriz Tempo-Tela v1.0</t>
  </si>
  <si>
    <t xml:space="preserve">Overhead Meu INSS pico 14h-17h</t>
  </si>
  <si>
    <t xml:space="preserve">P40</t>
  </si>
  <si>
    <t xml:space="preserve">Caso Ronivaldo (evidência N=1)</t>
  </si>
  <si>
    <t xml:space="preserve">Prob. queda Meu INSS (pico)</t>
  </si>
  <si>
    <t xml:space="preserve">P41</t>
  </si>
  <si>
    <t xml:space="preserve">Matriz Tempo-Tela</t>
  </si>
  <si>
    <t xml:space="preserve">Indisponibilidade DataPrev (17 meses)</t>
  </si>
  <si>
    <t xml:space="preserve">P42</t>
  </si>
  <si>
    <t xml:space="preserve">TCU Acórdão 2099/2025</t>
  </si>
  <si>
    <t xml:space="preserve">_opex_row=45</t>
  </si>
  <si>
    <t xml:space="preserve">FOLHA DE EQUIPE — CENÁRIOS GARAGEM / PILOTO / ESCALA</t>
  </si>
  <si>
    <t xml:space="preserve">Premissa Master: salário operador R$2.800 + encargos ×1,85 = R$5.180. Demais papéis: cenário estimado (editável — azul amarelo).</t>
  </si>
  <si>
    <t xml:space="preserve">Papel</t>
  </si>
  <si>
    <t xml:space="preserve">Pessoa</t>
  </si>
  <si>
    <t xml:space="preserve">Status</t>
  </si>
  <si>
    <t xml:space="preserve">Salário base (R$)</t>
  </si>
  <si>
    <t xml:space="preserve">Encargos ×</t>
  </si>
  <si>
    <t xml:space="preserve">Custo CLT (R$)</t>
  </si>
  <si>
    <t xml:space="preserve">Qtd GAR</t>
  </si>
  <si>
    <t xml:space="preserve">Qtd PIL</t>
  </si>
  <si>
    <t xml:space="preserve">Qtd ESC</t>
  </si>
  <si>
    <t xml:space="preserve">Subtotal PIL (R$)</t>
  </si>
  <si>
    <t xml:space="preserve">Observação</t>
  </si>
  <si>
    <t xml:space="preserve">Founder / CEO</t>
  </si>
  <si>
    <t xml:space="preserve">Alessandro de Souza Neves</t>
  </si>
  <si>
    <t xml:space="preserve">Founder</t>
  </si>
  <si>
    <t xml:space="preserve">22 anos INSS — pro-labore simbólico; multiplicador 1× (não CLT)</t>
  </si>
  <si>
    <t xml:space="preserve">Co-operador estratégico</t>
  </si>
  <si>
    <t xml:space="preserve">Gilberto Inácio (Beto)</t>
  </si>
  <si>
    <t xml:space="preserve">Sócio operacional</t>
  </si>
  <si>
    <t xml:space="preserve">14+ meses sem remuneração formal; meta formalização em 2027</t>
  </si>
  <si>
    <t xml:space="preserve">Supervisor T3 / QA</t>
  </si>
  <si>
    <t xml:space="preserve">A contratar</t>
  </si>
  <si>
    <t xml:space="preserve">CLT</t>
  </si>
  <si>
    <t xml:space="preserve">Master §4 — diluído 1:6 operadores</t>
  </si>
  <si>
    <t xml:space="preserve">Operador API-Humano (noite)</t>
  </si>
  <si>
    <t xml:space="preserve">A contratar (pool)</t>
  </si>
  <si>
    <t xml:space="preserve">Master §4 — horário 2h-8h janela ouro INSS</t>
  </si>
  <si>
    <t xml:space="preserve">Operador API-Humano (dia)</t>
  </si>
  <si>
    <t xml:space="preserve">Master §4 — 8h-12h acolhimento + coleta</t>
  </si>
  <si>
    <t xml:space="preserve">Dev proprietary (part-time)</t>
  </si>
  <si>
    <t xml:space="preserve">Igor</t>
  </si>
  <si>
    <t xml:space="preserve">PJ part-time</t>
  </si>
  <si>
    <t xml:space="preserve">Software proprietário — canal conversacional + MCP</t>
  </si>
  <si>
    <t xml:space="preserve">UX / Narrativa</t>
  </si>
  <si>
    <t xml:space="preserve">Carlos</t>
  </si>
  <si>
    <t xml:space="preserve">Tom Nubank-previdenciário — WhatsApp flows</t>
  </si>
  <si>
    <t xml:space="preserve">Process mapping externo</t>
  </si>
  <si>
    <t xml:space="preserve">Marlon Antonio (Bravy)</t>
  </si>
  <si>
    <t xml:space="preserve">PJ pontual</t>
  </si>
  <si>
    <t xml:space="preserve">Seg/Qua/Sex 16h — fim previsto 07/2026</t>
  </si>
  <si>
    <t xml:space="preserve">Advogada B2B exclusiva</t>
  </si>
  <si>
    <t xml:space="preserve">Dra. Juliana Melo (OAB-GO 38.662)</t>
  </si>
  <si>
    <t xml:space="preserve">Parceira 12/2026</t>
  </si>
  <si>
    <t xml:space="preserve">Honorários por caso via Φ₂ — NÃO é despesa fixa</t>
  </si>
  <si>
    <t xml:space="preserve">Advogadas marketplace</t>
  </si>
  <si>
    <t xml:space="preserve">Juliana Alencar + Jéssica Lorrane</t>
  </si>
  <si>
    <t xml:space="preserve">Pool 3+</t>
  </si>
  <si>
    <t xml:space="preserve">Randomização Prov.205/2021 — Φ₂ variável por caso</t>
  </si>
  <si>
    <t xml:space="preserve">TOTAL MENSAL FOLHA</t>
  </si>
  <si>
    <t xml:space="preserve">folha mensal piloto</t>
  </si>
  <si>
    <t xml:space="preserve">CUSTOS FIXOS ADICIONAIS PILOTO (infra + ferramentas)</t>
  </si>
  <si>
    <t xml:space="preserve">Evolution API (WhatsApp)</t>
  </si>
  <si>
    <t xml:space="preserve">R$/mês — canal proprietário</t>
  </si>
  <si>
    <t xml:space="preserve">N8N PRO</t>
  </si>
  <si>
    <t xml:space="preserve">R$/mês — orquestração</t>
  </si>
  <si>
    <t xml:space="preserve">Chatvolt PRO</t>
  </si>
  <si>
    <t xml:space="preserve">R$/mês — NLU</t>
  </si>
  <si>
    <t xml:space="preserve">Google Workspace (2TB + contas)</t>
  </si>
  <si>
    <t xml:space="preserve">ClickUp (team)</t>
  </si>
  <si>
    <t xml:space="preserve">R$/mês — gestão ops</t>
  </si>
  <si>
    <t xml:space="preserve">Anthropic API (Claude Code + Opus)</t>
  </si>
  <si>
    <t xml:space="preserve">R$/mês — engine agnóstica</t>
  </si>
  <si>
    <t xml:space="preserve">GCP self-hosted (Llama + MySQL)</t>
  </si>
  <si>
    <t xml:space="preserve">Bitwarden Organizations</t>
  </si>
  <si>
    <t xml:space="preserve">R$/mês — ADR-009 custódia senhas</t>
  </si>
  <si>
    <t xml:space="preserve">Autentique (assinatura)</t>
  </si>
  <si>
    <t xml:space="preserve">ICP-Brasil ACT (timestamp)</t>
  </si>
  <si>
    <t xml:space="preserve">R$/mês — RFC 3161</t>
  </si>
  <si>
    <t xml:space="preserve">Contabilidade</t>
  </si>
  <si>
    <t xml:space="preserve">Aluguel + utilidades garagem</t>
  </si>
  <si>
    <t xml:space="preserve">Contingência (15%)</t>
  </si>
  <si>
    <t xml:space="preserve">Calculado sobre subtotal — buffer operacional</t>
  </si>
  <si>
    <t xml:space="preserve">TOTAL INFRA + FERRAMENTAS</t>
  </si>
  <si>
    <t xml:space="preserve">CAPEX INICIAL (amortizado 24 meses)</t>
  </si>
  <si>
    <t xml:space="preserve">Mac Mini M4 16/256 (Claude Cowork)</t>
  </si>
  <si>
    <t xml:space="preserve">hardware essencial — operação CEO</t>
  </si>
  <si>
    <t xml:space="preserve">Notebooks operadores (6 × R$3.500)</t>
  </si>
  <si>
    <t xml:space="preserve">hardware operação</t>
  </si>
  <si>
    <t xml:space="preserve">Headsets + monitores + setup</t>
  </si>
  <si>
    <t xml:space="preserve">operação 24h</t>
  </si>
  <si>
    <t xml:space="preserve">INPI marca Classe 42 + software</t>
  </si>
  <si>
    <t xml:space="preserve">Blindagem 6</t>
  </si>
  <si>
    <t xml:space="preserve">Registro autoral BN (ADRs + Grimório)</t>
  </si>
  <si>
    <t xml:space="preserve">RFC 3161 ICP-Brasil</t>
  </si>
  <si>
    <t xml:space="preserve">Assessoria jurídica inicial (3 consultas)</t>
  </si>
  <si>
    <t xml:space="preserve">Camada 1 ADR-011 — 3 advogadas</t>
  </si>
  <si>
    <t xml:space="preserve">Branding, domínio, identidade</t>
  </si>
  <si>
    <t xml:space="preserve">marca + site mínimo</t>
  </si>
  <si>
    <t xml:space="preserve">TOTAL CAPEX INICIAL</t>
  </si>
  <si>
    <t xml:space="preserve">CAPEX amortizado/mês (÷24)</t>
  </si>
  <si>
    <t xml:space="preserve">OPEX MENSAL CONSOLIDADO (PILOTO)</t>
  </si>
  <si>
    <t xml:space="preserve">COMPARATIVO CENÁRIOS — GARAGEM × PILOTO × ESCALA</t>
  </si>
  <si>
    <t xml:space="preserve">Cenário</t>
  </si>
  <si>
    <t xml:space="preserve">Operadores</t>
  </si>
  <si>
    <t xml:space="preserve">Supervisor</t>
  </si>
  <si>
    <t xml:space="preserve">Folha CLT/mês (R$)</t>
  </si>
  <si>
    <t xml:space="preserve">Infra (R$)</t>
  </si>
  <si>
    <t xml:space="preserve">OPEX total (R$)</t>
  </si>
  <si>
    <t xml:space="preserve">Break-even (casos/mês)</t>
  </si>
  <si>
    <t xml:space="preserve">Casos/mês alvo</t>
  </si>
  <si>
    <t xml:space="preserve">Margem operacional esperada</t>
  </si>
  <si>
    <t xml:space="preserve">GARAGEM (atual)</t>
  </si>
  <si>
    <t xml:space="preserve">PILOTO (Master oficial)</t>
  </si>
  <si>
    <t xml:space="preserve">ESCALA (Y1-Y2)</t>
  </si>
  <si>
    <t xml:space="preserve">COGS UNIT ECONOMICS — R$ 529/CASO (Master Context §4)</t>
  </si>
  <si>
    <t xml:space="preserve">Decomposição: operador (tempo-tela × custo-hora) + fração supervisor + infra + tributos. Valor oficial Master = R$529/caso.</t>
  </si>
  <si>
    <t xml:space="preserve">1. CUSTO-HORA REAL (Master Context)</t>
  </si>
  <si>
    <t xml:space="preserve">Componente</t>
  </si>
  <si>
    <t xml:space="preserve">Salário base operador</t>
  </si>
  <si>
    <t xml:space="preserve">Master §4 — CLT piloto</t>
  </si>
  <si>
    <t xml:space="preserve">FGTS+INSS patronal+férias+13º+provisões</t>
  </si>
  <si>
    <t xml:space="preserve">Custo CLT pleno mensal</t>
  </si>
  <si>
    <t xml:space="preserve">Calculado</t>
  </si>
  <si>
    <t xml:space="preserve">Horas produtivas/mês</t>
  </si>
  <si>
    <t xml:space="preserve">Master §4 — descontando paradas</t>
  </si>
  <si>
    <t xml:space="preserve">Custo-hora oficial Master</t>
  </si>
  <si>
    <t xml:space="preserve">R$ 36,79 — valor oficial</t>
  </si>
  <si>
    <t xml:space="preserve">Supervisor mensal</t>
  </si>
  <si>
    <t xml:space="preserve">Operadores por supervisor</t>
  </si>
  <si>
    <t xml:space="preserve">Piloto 1:6</t>
  </si>
  <si>
    <t xml:space="preserve">Supervisor diluído/operador/mês</t>
  </si>
  <si>
    <t xml:space="preserve">2. COGS POR ESPÉCIE — CÁLCULO ANALÍTICO</t>
  </si>
  <si>
    <t xml:space="preserve">Espécie</t>
  </si>
  <si>
    <t xml:space="preserve">Tempo-tela (h)</t>
  </si>
  <si>
    <t xml:space="preserve">Custo operador (R$)</t>
  </si>
  <si>
    <t xml:space="preserve">Fração supervisor (R$)</t>
  </si>
  <si>
    <t xml:space="preserve">Infra + tributos (R$)</t>
  </si>
  <si>
    <t xml:space="preserve">COGS Total (R$)</t>
  </si>
  <si>
    <t xml:space="preserve">Preço Φ₁ (R$)</t>
  </si>
  <si>
    <t xml:space="preserve">Margem bruta (R$)</t>
  </si>
  <si>
    <t xml:space="preserve">Margem %</t>
  </si>
  <si>
    <t xml:space="preserve">Rural B11 (aposentadoria idade rural)</t>
  </si>
  <si>
    <t xml:space="preserve">BPC/LOAS (B87/B88)</t>
  </si>
  <si>
    <t xml:space="preserve">Urbano letrado (B41)</t>
  </si>
  <si>
    <t xml:space="preserve">Com retry retrabalho (pior caso)</t>
  </si>
  <si>
    <t xml:space="preserve">MÉDIA PLANEJAMENTO (Master §4)</t>
  </si>
  <si>
    <t xml:space="preserve">COGS-GARAGE OFICIAL MASTER (§4)</t>
  </si>
  <si>
    <t xml:space="preserve">incluído</t>
  </si>
  <si>
    <t xml:space="preserve">NOTA DE RECONCILIAÇÃO:</t>
  </si>
  <si>
    <t xml:space="preserve">• Cálculo analítico por espécie converge com valor Master (R$529) quando se considera mix + escala + bot Playwright (-43% tempo Meu INSS).</t>
  </si>
  <si>
    <t xml:space="preserve">• O valor R$529 é o ÂNCORA OFICIAL. Divergências entre docs anteriores (R$190 Reconciliação, R$287 Sheet 4, R$529 Master) resolvidas pelo CEO em 19/04.</t>
  </si>
  <si>
    <t xml:space="preserve">• Margem 74-84% só é atingida com: (a) mix Urbano 30%+, (b) bot operando em janela 2h-6h, (c) eliminação de retrabalho via dossiê Proof-First.</t>
  </si>
  <si>
    <t xml:space="preserve">• O cálculo analítico mostra margens 50-64% no caso-a-caso — A GARANTIA DE 74-84% VEM DA MIX, DA ESCALA E DA AUTOMAÇÃO.</t>
  </si>
  <si>
    <t xml:space="preserve">3. DECOMPOSIÇÃO DO R$ 529 (COGS-GARAGE OFICIAL)</t>
  </si>
  <si>
    <t xml:space="preserve">Cálculo</t>
  </si>
  <si>
    <t xml:space="preserve">Valor (R$)</t>
  </si>
  <si>
    <t xml:space="preserve">% do COGS</t>
  </si>
  <si>
    <t xml:space="preserve">Custo operador (15h × R$36,79/h)</t>
  </si>
  <si>
    <t xml:space="preserve">tempo-tela 100% humano</t>
  </si>
  <si>
    <t xml:space="preserve">Fração supervisor diluído</t>
  </si>
  <si>
    <t xml:space="preserve">5.800/6/9,4 casos/op/mês</t>
  </si>
  <si>
    <t xml:space="preserve">Infra + APIs + cloud</t>
  </si>
  <si>
    <t xml:space="preserve">input fixo</t>
  </si>
  <si>
    <t xml:space="preserve">Claude + GCP + WhatsApp</t>
  </si>
  <si>
    <t xml:space="preserve">Tributos (Simples, ISS etc)</t>
  </si>
  <si>
    <t xml:space="preserve">6% sobre receita R$1.500 * fator mix</t>
  </si>
  <si>
    <t xml:space="preserve">Buffer risco operacional</t>
  </si>
  <si>
    <t xml:space="preserve">retrabalho não previsto</t>
  </si>
  <si>
    <t xml:space="preserve">COGS TOTAL CALCULADO</t>
  </si>
  <si>
    <t xml:space="preserve">Target Master: R$ 529</t>
  </si>
  <si>
    <t xml:space="preserve">TEMPO-TELA DETALHADO — 31 MICROFASES E0→E7</t>
  </si>
  <si>
    <t xml:space="preserve">Matriz-base: MC-MATRIZ-TEMPO-TELA-PILOTO v1.0 + Estimativa 500 Casos v1.0. Multiplicador literacia 0 (2,1×) já aplicado.</t>
  </si>
  <si>
    <t xml:space="preserve">ID</t>
  </si>
  <si>
    <t xml:space="preserve">Estado</t>
  </si>
  <si>
    <t xml:space="preserve">Microfase</t>
  </si>
  <si>
    <t xml:space="preserve">Executor</t>
  </si>
  <si>
    <t xml:space="preserve">Rural B11 (min)</t>
  </si>
  <si>
    <t xml:space="preserve">BPC (min)</t>
  </si>
  <si>
    <t xml:space="preserve">Fricção Lit.0 (×)</t>
  </si>
  <si>
    <t xml:space="preserve">Custo op. Rural (R$)</t>
  </si>
  <si>
    <t xml:space="preserve">Custo op. BPC (R$)</t>
  </si>
  <si>
    <t xml:space="preserve">Sistema dependente</t>
  </si>
  <si>
    <t xml:space="preserve">M01</t>
  </si>
  <si>
    <t xml:space="preserve">E0</t>
  </si>
  <si>
    <t xml:space="preserve">Cidadão manda áudio/texto WhatsApp — IA classifica</t>
  </si>
  <si>
    <t xml:space="preserve">IA Gemini</t>
  </si>
  <si>
    <t xml:space="preserve">—</t>
  </si>
  <si>
    <t xml:space="preserve">WhatsApp Cloud API</t>
  </si>
  <si>
    <t xml:space="preserve">M02</t>
  </si>
  <si>
    <t xml:space="preserve">Atendente verifica classificação IA</t>
  </si>
  <si>
    <t xml:space="preserve">Humano remoto</t>
  </si>
  <si>
    <t xml:space="preserve">Dashboard interno</t>
  </si>
  <si>
    <t xml:space="preserve">M03</t>
  </si>
  <si>
    <t xml:space="preserve">E1</t>
  </si>
  <si>
    <t xml:space="preserve">Ligação WhatsApp voz: acolhimento + confiança</t>
  </si>
  <si>
    <t xml:space="preserve">WhatsApp voz</t>
  </si>
  <si>
    <t xml:space="preserve">M04</t>
  </si>
  <si>
    <t xml:space="preserve">Coleta CPF, nome, NB, data nasc, endereço</t>
  </si>
  <si>
    <t xml:space="preserve">WhatsApp + Firestore</t>
  </si>
  <si>
    <t xml:space="preserve">M05</t>
  </si>
  <si>
    <t xml:space="preserve">Explicar docs necessários (áudio + foto exemplo)</t>
  </si>
  <si>
    <t xml:space="preserve">WhatsApp</t>
  </si>
  <si>
    <t xml:space="preserve">M06</t>
  </si>
  <si>
    <t xml:space="preserve">Cidadão envia fotos docs (ida e volta)</t>
  </si>
  <si>
    <t xml:space="preserve">Humano + cidadão</t>
  </si>
  <si>
    <t xml:space="preserve">WhatsApp + Vision OCR</t>
  </si>
  <si>
    <t xml:space="preserve">M07</t>
  </si>
  <si>
    <t xml:space="preserve">E2</t>
  </si>
  <si>
    <t xml:space="preserve">Login gov.br (criar/elevar conta)</t>
  </si>
  <si>
    <t xml:space="preserve">gov.br autenticação</t>
  </si>
  <si>
    <t xml:space="preserve">M08</t>
  </si>
  <si>
    <t xml:space="preserve">Reconhecimento facial gov.br (falha 35%)</t>
  </si>
  <si>
    <t xml:space="preserve">Cidadão + humano</t>
  </si>
  <si>
    <t xml:space="preserve">gov.br biometria</t>
  </si>
  <si>
    <t xml:space="preserve">M09</t>
  </si>
  <si>
    <t xml:space="preserve">Extração CNIS via Meu INSS</t>
  </si>
  <si>
    <t xml:space="preserve">Meu INSS CNIS</t>
  </si>
  <si>
    <t xml:space="preserve">M10</t>
  </si>
  <si>
    <t xml:space="preserve">Análise CNIS + simulação</t>
  </si>
  <si>
    <t xml:space="preserve">Humano + IA</t>
  </si>
  <si>
    <t xml:space="preserve">GCP self-hosted</t>
  </si>
  <si>
    <t xml:space="preserve">M11</t>
  </si>
  <si>
    <t xml:space="preserve">Explicar resultado análise pro cidadão</t>
  </si>
  <si>
    <t xml:space="preserve">M12</t>
  </si>
  <si>
    <t xml:space="preserve">E3</t>
  </si>
  <si>
    <t xml:space="preserve">Orientar cidadão ao cartório (certidão inteiro teor)</t>
  </si>
  <si>
    <t xml:space="preserve">M13</t>
  </si>
  <si>
    <t xml:space="preserve">ESPERA: cidadão vai ao cartório (3-7 dias)</t>
  </si>
  <si>
    <t xml:space="preserve">Espera cidadão</t>
  </si>
  <si>
    <t xml:space="preserve">Cartório físico</t>
  </si>
  <si>
    <t xml:space="preserve">M14</t>
  </si>
  <si>
    <t xml:space="preserve">Validar foto certidão (legível? inteiro teor?)</t>
  </si>
  <si>
    <t xml:space="preserve">Vision OCR</t>
  </si>
  <si>
    <t xml:space="preserve">M15</t>
  </si>
  <si>
    <t xml:space="preserve">Orientar cidadão ao sindicato rural (STR)</t>
  </si>
  <si>
    <t xml:space="preserve">M16</t>
  </si>
  <si>
    <t xml:space="preserve">Preencher Autodeclaração Segurado Especial</t>
  </si>
  <si>
    <t xml:space="preserve">M17</t>
  </si>
  <si>
    <t xml:space="preserve">Coleta docs BPC (CadÚnico + laudo + renda)</t>
  </si>
  <si>
    <t xml:space="preserve">WhatsApp + CadÚnico</t>
  </si>
  <si>
    <t xml:space="preserve">M18</t>
  </si>
  <si>
    <t xml:space="preserve">Montagem dossiê Proof-First (IA + humano)</t>
  </si>
  <si>
    <t xml:space="preserve">Firestore + KMS</t>
  </si>
  <si>
    <t xml:space="preserve">M19</t>
  </si>
  <si>
    <t xml:space="preserve">QA final dossiê (checklist)</t>
  </si>
  <si>
    <t xml:space="preserve">Dashboard</t>
  </si>
  <si>
    <t xml:space="preserve">M20</t>
  </si>
  <si>
    <t xml:space="preserve">E4</t>
  </si>
  <si>
    <t xml:space="preserve">Procuração eletrônica Meu INSS</t>
  </si>
  <si>
    <t xml:space="preserve">Meu INSS</t>
  </si>
  <si>
    <t xml:space="preserve">M21</t>
  </si>
  <si>
    <t xml:space="preserve">Upload documentos Meu INSS</t>
  </si>
  <si>
    <t xml:space="preserve">Meu INSS upload</t>
  </si>
  <si>
    <t xml:space="preserve">M22</t>
  </si>
  <si>
    <t xml:space="preserve">Protocolo requerimento DER + hash SHA-256</t>
  </si>
  <si>
    <t xml:space="preserve">Meu INSS + KMS</t>
  </si>
  <si>
    <t xml:space="preserve">M23</t>
  </si>
  <si>
    <t xml:space="preserve">Comunicar cidadão: protocolo feito</t>
  </si>
  <si>
    <t xml:space="preserve">M24</t>
  </si>
  <si>
    <t xml:space="preserve">E5</t>
  </si>
  <si>
    <t xml:space="preserve">Watchdog mensal: status (bot madrugada)</t>
  </si>
  <si>
    <t xml:space="preserve">IA Playwright</t>
  </si>
  <si>
    <t xml:space="preserve">Meu INSS scraping</t>
  </si>
  <si>
    <t xml:space="preserve">M25</t>
  </si>
  <si>
    <t xml:space="preserve">Exigência: explicar ao cidadão o que falta</t>
  </si>
  <si>
    <t xml:space="preserve">M26</t>
  </si>
  <si>
    <t xml:space="preserve">ESPERA: coleta doc complementar (5-15 dias)</t>
  </si>
  <si>
    <t xml:space="preserve">Físico</t>
  </si>
  <si>
    <t xml:space="preserve">M27</t>
  </si>
  <si>
    <t xml:space="preserve">Upload resposta exigência</t>
  </si>
  <si>
    <t xml:space="preserve">M28</t>
  </si>
  <si>
    <t xml:space="preserve">Ligação 135 se necessário (fila)</t>
  </si>
  <si>
    <t xml:space="preserve">Central 135</t>
  </si>
  <si>
    <t xml:space="preserve">M29</t>
  </si>
  <si>
    <t xml:space="preserve">E6</t>
  </si>
  <si>
    <t xml:space="preserve">Verificar concessão/indeferimento</t>
  </si>
  <si>
    <t xml:space="preserve">IA + humano</t>
  </si>
  <si>
    <t xml:space="preserve">M30</t>
  </si>
  <si>
    <t xml:space="preserve">Comunicar resultado ao cidadão</t>
  </si>
  <si>
    <t xml:space="preserve">M31</t>
  </si>
  <si>
    <t xml:space="preserve">E7</t>
  </si>
  <si>
    <t xml:space="preserve">Fechamento + orientação pós (ADR-009 troca senha)</t>
  </si>
  <si>
    <t xml:space="preserve">WhatsApp + Bitwarden</t>
  </si>
  <si>
    <t xml:space="preserve">TOTAIS</t>
  </si>
  <si>
    <t xml:space="preserve">minutos e R$ total por caso</t>
  </si>
  <si>
    <t xml:space="preserve">EM HORAS</t>
  </si>
  <si>
    <t xml:space="preserve">tempo tela por caso (horas)</t>
  </si>
  <si>
    <t xml:space="preserve">RECONCILIAÇÃO COM MASTER CONTEXT:</t>
  </si>
  <si>
    <t xml:space="preserve">• Totais deste detalhamento: Rural ~14,6h / BPC ~14,1h — CONVERGEM com Master §4 (R$529 COGS / 15h planejamento).</t>
  </si>
  <si>
    <t xml:space="preserve">• Microfases E0-M01 a M31 cobrem o fluxo completo da JORNADA_E0E7 (MC-PROCESSO v1.0).</t>
  </si>
  <si>
    <t xml:space="preserve">• Fricção literacia 0 (2,1×) JÁ APLICADA no tempo-tela por célula (fonte: Matriz-Piloto v1.0).</t>
  </si>
  <si>
    <t xml:space="preserve">• Custo operador R$ cresce proporcionalmente ao tempo — única variável que o bot Playwright reduz é no M07-M09, M20-M22, M24, M27, M29 (-43% com automação).</t>
  </si>
  <si>
    <t xml:space="preserve">• Espera (M13, M26) = 0min custo operador, mas consome dias-calendário — não entra no COGS mas impacta fluxo de caixa.</t>
  </si>
  <si>
    <t xml:space="preserve">DOR MONETÁRIA — CENÁRIOS DE CUSTO DO HIPERVULNERÁVEL</t>
  </si>
  <si>
    <t xml:space="preserve">Âncora adversarial: o hipervulnerável paga HOJE, na jornada convencional, em média R$12.000. MC R$1.500 = desconto 87,5%.</t>
  </si>
  <si>
    <t xml:space="preserve">1. PERSONA DONA ZILDA — Rural interior (Nordeste)</t>
  </si>
  <si>
    <t xml:space="preserve">Contexto</t>
  </si>
  <si>
    <t xml:space="preserve">Aposentada rural por idade, renda 1-2 SM, literacia digital zero, interior BA/MA/PI</t>
  </si>
  <si>
    <t xml:space="preserve">Alternativa</t>
  </si>
  <si>
    <t xml:space="preserve">Custo mín (R$)</t>
  </si>
  <si>
    <t xml:space="preserve">Custo med (R$)</t>
  </si>
  <si>
    <t xml:space="preserve">Custo max (R$)</t>
  </si>
  <si>
    <t xml:space="preserve">% SM 2026</t>
  </si>
  <si>
    <t xml:space="preserve">vs MC (×)</t>
  </si>
  <si>
    <t xml:space="preserve">Prob. êxito</t>
  </si>
  <si>
    <t xml:space="preserve">Tempo (meses)</t>
  </si>
  <si>
    <t xml:space="preserve">DIY sozinha (sem ajuda)</t>
  </si>
  <si>
    <t xml:space="preserve">Custos ocultos: transporte+cópias+faltas trabalho. Pesquisa base compilado Perplexity.</t>
  </si>
  <si>
    <t xml:space="preserve">Ajuda de parente (filha, sobrinho)</t>
  </si>
  <si>
    <t xml:space="preserve">Deslocamento + tempo perdido de ambos. Alto risco de frustração.</t>
  </si>
  <si>
    <t xml:space="preserve">Despachante / lan house (atravessador)</t>
  </si>
  <si>
    <t xml:space="preserve">Alto risco fraude — entrega senha gov.br. Sem garantia de legalidade.</t>
  </si>
  <si>
    <t xml:space="preserve">Escritório advocacia interior (honorários fixos)</t>
  </si>
  <si>
    <t xml:space="preserve">Entrada R$2k + contingency 30% do benefício retroativo. Ainda sem dossiê-diamantado.</t>
  </si>
  <si>
    <t xml:space="preserve">Escritório + sucesso (contingency 30% benefício)</t>
  </si>
  <si>
    <t xml:space="preserve">30% sobre R$16-40k retroativo. REsp 2.079.440/RO ataca ESTE modelo — não o MC.</t>
  </si>
  <si>
    <t xml:space="preserve">Escritório-tech com IA (nicho urbano)</t>
  </si>
  <si>
    <t xml:space="preserve">1,5-2,8× MC. Atende Rural mas com custo premium.</t>
  </si>
  <si>
    <t xml:space="preserve">Meu Cumpadre (Φ₁ flat)</t>
  </si>
  <si>
    <t xml:space="preserve">Preço único nacional + dossiê selado. Pós-E7 cliente troca senha (ADR-009).</t>
  </si>
  <si>
    <t xml:space="preserve">2. PERSONA SEU JOÃO — Urbano periférico (aposentadoria por idade urbana)</t>
  </si>
  <si>
    <t xml:space="preserve">Aposentadoria urbana B41, renda 1-3 SM, literacia digital baixa, periferia capital</t>
  </si>
  <si>
    <t xml:space="preserve">DIY sozinho</t>
  </si>
  <si>
    <t xml:space="preserve">Menos custos rurais, mais capacidade deslocamento. Pesquisa compilada.</t>
  </si>
  <si>
    <t xml:space="preserve">Despachante praça central capital</t>
  </si>
  <si>
    <t xml:space="preserve">Praças de bairro — atravessador previdenciário. Risco médio fraude.</t>
  </si>
  <si>
    <t xml:space="preserve">Escritório advocacia capital médio</t>
  </si>
  <si>
    <t xml:space="preserve">Honorário fixo + eventual contingency.</t>
  </si>
  <si>
    <t xml:space="preserve">Escritório advocacia + contingency 30%</t>
  </si>
  <si>
    <t xml:space="preserve">Contingency 30% retroativo. Capital médio.</t>
  </si>
  <si>
    <t xml:space="preserve">Escritório premium IA (legaltech)</t>
  </si>
  <si>
    <t xml:space="preserve">Nicho urbano letrado. 2-3× MC.</t>
  </si>
  <si>
    <t xml:space="preserve">Mesmo preço nacional.</t>
  </si>
  <si>
    <t xml:space="preserve">3. PERSONA DONA CECÍLIA — BPC/LOAS (deficiência ou idoso miserável)</t>
  </si>
  <si>
    <t xml:space="preserve">Beneficiária assistencial — renda per capita &lt; ¼ SM. CadÚnico + laudo + renda. Literacia próxima a zero.</t>
  </si>
  <si>
    <t xml:space="preserve">DIY com apoio CRAS</t>
  </si>
  <si>
    <t xml:space="preserve">CRAS assistente social orienta — mas BPC tem laudo médico crítico.</t>
  </si>
  <si>
    <t xml:space="preserve">Despachante local</t>
  </si>
  <si>
    <t xml:space="preserve">Atravessador BPC — risco extremo fraude consignado.</t>
  </si>
  <si>
    <t xml:space="preserve">Escritório advocacia BPC</t>
  </si>
  <si>
    <t xml:space="preserve">BPC tem mais indeferimento — escritório cobra prêmio.</t>
  </si>
  <si>
    <t xml:space="preserve">Escritório + contingency 30%</t>
  </si>
  <si>
    <t xml:space="preserve">Atua também na via judicial recursal.</t>
  </si>
  <si>
    <t xml:space="preserve">Persona mais complexa — margem MC pode ir a 60%.</t>
  </si>
  <si>
    <t xml:space="preserve">4. CUSTO-OPORTUNIDADE DE TEMPO DO HIPERVULNERÁVEL</t>
  </si>
  <si>
    <t xml:space="preserve">Item</t>
  </si>
  <si>
    <t xml:space="preserve">Valor unitário</t>
  </si>
  <si>
    <t xml:space="preserve">Qtd DIY</t>
  </si>
  <si>
    <t xml:space="preserve">Qtd Despachante</t>
  </si>
  <si>
    <t xml:space="preserve">Qtd Escritório</t>
  </si>
  <si>
    <t xml:space="preserve">Qtd MC</t>
  </si>
  <si>
    <t xml:space="preserve">Deslocamento APS (ida/volta, km médio 50)</t>
  </si>
  <si>
    <t xml:space="preserve">gasolina/passagem de ônibus</t>
  </si>
  <si>
    <t xml:space="preserve">Diárias perdidas de trabalho (1 SM/30 = R$54)</t>
  </si>
  <si>
    <t xml:space="preserve">Ausência remunerada impossível classe D/E</t>
  </si>
  <si>
    <t xml:space="preserve">Cópias reprográficas (docs múltiplos)</t>
  </si>
  <si>
    <t xml:space="preserve">Certidões, cópias simples, impressões</t>
  </si>
  <si>
    <t xml:space="preserve">Alimentação em deslocamento</t>
  </si>
  <si>
    <t xml:space="preserve">Fora de casa &gt; 6h</t>
  </si>
  <si>
    <t xml:space="preserve">Ligações telefônicas INSS/135 (fila)</t>
  </si>
  <si>
    <t xml:space="preserve">Celular pré-pago crédito R$10</t>
  </si>
  <si>
    <t xml:space="preserve">Imprevistos + deslocamentos extras</t>
  </si>
  <si>
    <t xml:space="preserve">Custo médio de retry</t>
  </si>
  <si>
    <t xml:space="preserve">TOTAL CUSTO-TEMPO (R$)</t>
  </si>
  <si>
    <t xml:space="preserve">Custo oculto do tempo — quase invisível na jornada</t>
  </si>
  <si>
    <t xml:space="preserve">5. DOR MONETÁRIA TOTAL — SÍNTESE</t>
  </si>
  <si>
    <t xml:space="preserve">Honorário (R$)</t>
  </si>
  <si>
    <t xml:space="preserve">Custo-tempo (R$)</t>
  </si>
  <si>
    <t xml:space="preserve">TOTAL (R$)</t>
  </si>
  <si>
    <t xml:space="preserve">Nota</t>
  </si>
  <si>
    <t xml:space="preserve">DIY sozinho (Zilda)</t>
  </si>
  <si>
    <t xml:space="preserve">Jornada sofrida, probabilidade baixa</t>
  </si>
  <si>
    <t xml:space="preserve">Despachante (Zilda)</t>
  </si>
  <si>
    <t xml:space="preserve">Risco fraude consignado</t>
  </si>
  <si>
    <t xml:space="preserve">Escritório advocacia interior</t>
  </si>
  <si>
    <t xml:space="preserve">Sem dossiê diamantado</t>
  </si>
  <si>
    <t xml:space="preserve">Modelo atacado por REsp 2.079.440</t>
  </si>
  <si>
    <t xml:space="preserve">Preço fixo + orquestração</t>
  </si>
  <si>
    <t xml:space="preserve">ÂNCORA MASTER §4:</t>
  </si>
  <si>
    <t xml:space="preserve">R$ 12.000 = gasto real do hipervulnerável na jornada convencional (soma transporte + cópias + atravessadores + advogado + tempo perdido)</t>
  </si>
  <si>
    <t xml:space="preserve">MC R$ 1.500:</t>
  </si>
  <si>
    <t xml:space="preserve">desconto 87,5% sobre a dor monetária convencional — Master §4</t>
  </si>
  <si>
    <t xml:space="preserve">CORREDOR DE PREÇO DEFENSÁVEL — R$ 1.200 | R$ 1.500 | R$ 2.500</t>
  </si>
  <si>
    <t xml:space="preserve">Master §5: piso R$1.200 (margem &lt;70% abaixo); sweet spot R$1.500 (flat nacional); teto R$2.500 (quebra narrativa acima).</t>
  </si>
  <si>
    <t xml:space="preserve">1. ANÁLISE DO CORREDOR — MARGEM E VIABILIDADE</t>
  </si>
  <si>
    <t xml:space="preserve">Ponto do corredor</t>
  </si>
  <si>
    <t xml:space="preserve">Preço (R$)</t>
  </si>
  <si>
    <t xml:space="preserve">COGS (R$)</t>
  </si>
  <si>
    <t xml:space="preserve">Margem R$</t>
  </si>
  <si>
    <t xml:space="preserve">BE casos/mês</t>
  </si>
  <si>
    <t xml:space="preserve">Veredicto</t>
  </si>
  <si>
    <t xml:space="preserve">Racional Master §5</t>
  </si>
  <si>
    <t xml:space="preserve">Piso regulatório (abaixo NÃO)</t>
  </si>
  <si>
    <t xml:space="preserve">FORA DO CORREDOR</t>
  </si>
  <si>
    <t xml:space="preserve">Abaixo piso — margem &lt;70%, retrabalho descoberto, queima percepção seriedade</t>
  </si>
  <si>
    <t xml:space="preserve">Piso oficial Master</t>
  </si>
  <si>
    <t xml:space="preserve">PISO ACEITÁVEL</t>
  </si>
  <si>
    <t xml:space="preserve">Margem ~56%, mas aceitável em cenário compressão</t>
  </si>
  <si>
    <t xml:space="preserve">Centro do corredor</t>
  </si>
  <si>
    <t xml:space="preserve">✓ SWEET SPOT</t>
  </si>
  <si>
    <t xml:space="preserve">Preço único flat. Master §5 — 3× PIX, sem tier</t>
  </si>
  <si>
    <t xml:space="preserve">Centro-alto</t>
  </si>
  <si>
    <t xml:space="preserve">ACEITÁVEL</t>
  </si>
  <si>
    <t xml:space="preserve">Se bot +98% janela ouro reduzir tempo-tela 30%</t>
  </si>
  <si>
    <t xml:space="preserve">Teto aceitável</t>
  </si>
  <si>
    <t xml:space="preserve">Acima: começa a virar jogo de advocacia premium</t>
  </si>
  <si>
    <t xml:space="preserve">Teto oficial Master</t>
  </si>
  <si>
    <t xml:space="preserve">TETO MÁXIMO</t>
  </si>
  <si>
    <t xml:space="preserve">Acima deste ponto: quebra narrativa infraestrutura</t>
  </si>
  <si>
    <t xml:space="preserve">Acima do teto (PROIBIDO)</t>
  </si>
  <si>
    <t xml:space="preserve">Vira advocacia premium. Guardrail Master §14: NÃO usar.</t>
  </si>
  <si>
    <t xml:space="preserve">2. ANTI-PADRÕES DE PREÇO (NÃO USAR — Master §5)</t>
  </si>
  <si>
    <t xml:space="preserve">Modelo proibido</t>
  </si>
  <si>
    <t xml:space="preserve">Exemplo</t>
  </si>
  <si>
    <t xml:space="preserve">Por que NÃO usar (Master §5)</t>
  </si>
  <si>
    <t xml:space="preserve">Risco</t>
  </si>
  <si>
    <t xml:space="preserve">Cobrar R$ 12.000</t>
  </si>
  <si>
    <t xml:space="preserve">Reproduzir mercado atual</t>
  </si>
  <si>
    <t xml:space="preserve">Reproduziria a EXPLORAÇÃO que queremos substituir</t>
  </si>
  <si>
    <t xml:space="preserve">Narrativa morre no berço</t>
  </si>
  <si>
    <t xml:space="preserve">Cobrar R$ 200</t>
  </si>
  <si>
    <t xml:space="preserve">Preço de entrada market disruption</t>
  </si>
  <si>
    <t xml:space="preserve">Inviabiliza COGS-garage + queima percepção de seriedade</t>
  </si>
  <si>
    <t xml:space="preserve">Adversarial: 'se é tão barato, é fraude'</t>
  </si>
  <si>
    <t xml:space="preserve">Cobrar por hora</t>
  </si>
  <si>
    <t xml:space="preserve">Honorário horário</t>
  </si>
  <si>
    <t xml:space="preserve">Vira honorário disfarçado — entra na zona privativa da advocacia</t>
  </si>
  <si>
    <t xml:space="preserve">Ataque OAB via Ementa 069 LIT</t>
  </si>
  <si>
    <t xml:space="preserve">Cobrar % do benefício (contingency)</t>
  </si>
  <si>
    <t xml:space="preserve">30% do retroativo</t>
  </si>
  <si>
    <t xml:space="preserve">Vira success fee — CF 5º XIII risco + REsp 2.079.440 aplica</t>
  </si>
  <si>
    <t xml:space="preserve">MP + OAB atacam simultaneamente</t>
  </si>
  <si>
    <t xml:space="preserve">Cobrar tier (básico/pro/premium)</t>
  </si>
  <si>
    <t xml:space="preserve">R$ 500 / R$ 1.500 / R$ 3.000</t>
  </si>
  <si>
    <t xml:space="preserve">Fricção cognitiva hipervulnerável + vira 'consultoria variável' ambígua</t>
  </si>
  <si>
    <t xml:space="preserve">Perda conversão + risco regulatório</t>
  </si>
  <si>
    <t xml:space="preserve">Cobrar assinatura mensal Φ_m</t>
  </si>
  <si>
    <t xml:space="preserve">R$ 19,90/mês</t>
  </si>
  <si>
    <t xml:space="preserve">Exige gestão de cobrança recorrente + inadimplência classe D/E alta</t>
  </si>
  <si>
    <t xml:space="preserve">Churn &gt; 30%/mês previsto</t>
  </si>
  <si>
    <t xml:space="preserve">3. POR QUE R$ 1.500 FLAT É O SWEET SPOT (Master §5)</t>
  </si>
  <si>
    <t xml:space="preserve">Preço único = promessa institucional</t>
  </si>
  <si>
    <t xml:space="preserve">Narrativa Nubank-like. Não comparar, não escolher — confiança radical.</t>
  </si>
  <si>
    <t xml:space="preserve">Hipervulnerável não navega comparador</t>
  </si>
  <si>
    <t xml:space="preserve">Pagar tier é fricção cognitiva. Preço único elimina essa carga.</t>
  </si>
  <si>
    <t xml:space="preserve">Preço flat neutraliza adversarial 'consultoria variável'</t>
  </si>
  <si>
    <t xml:space="preserve">REsp 2.079.440 mira contingency — MC flat fica INTOCADO pelo teste.</t>
  </si>
  <si>
    <t xml:space="preserve">R$ 1.500 = 92,5% do SM 2026 (R$1.621)</t>
  </si>
  <si>
    <t xml:space="preserve">Ancoragem psicológica — 'menos que um salário' acessível, não mesquinho.</t>
  </si>
  <si>
    <t xml:space="preserve">3× PIX = R$ 500/mês por 3 meses</t>
  </si>
  <si>
    <t xml:space="preserve">Cabível no orçamento de renda discricionária (R$450) + apoio familiar.</t>
  </si>
  <si>
    <t xml:space="preserve">Flat resolve 'percepção de justiça'</t>
  </si>
  <si>
    <t xml:space="preserve">Quem tem benefício alto paga o mesmo que tem benefício baixo — dignidade nivelada.</t>
  </si>
  <si>
    <t xml:space="preserve">Preço único simplifica compliance</t>
  </si>
  <si>
    <t xml:space="preserve">Uma nota fiscal, uma obrigação tributária, um fluxo — margem operacional.</t>
  </si>
  <si>
    <t xml:space="preserve">BREAK-EVEN POR CENÁRIO — GARAGEM / PILOTO / COMPLIANT / ESCALA</t>
  </si>
  <si>
    <t xml:space="preserve">Master §4: break-even oficial garagem = 22 casos/mês. Este aba estressa 4 cenários simultâneos e expõe o ponto de inflexão.</t>
  </si>
  <si>
    <t xml:space="preserve">Variável / Cenário</t>
  </si>
  <si>
    <t xml:space="preserve">PILOTO (Master §4)</t>
  </si>
  <si>
    <t xml:space="preserve">COMPLIANT (Crisálida→Borb)</t>
  </si>
  <si>
    <t xml:space="preserve">ESCALA Y1-Y2</t>
  </si>
  <si>
    <t xml:space="preserve">ESCALA Y3+</t>
  </si>
  <si>
    <t xml:space="preserve">MULTI-PAÍSES</t>
  </si>
  <si>
    <t xml:space="preserve">Operadores CLT</t>
  </si>
  <si>
    <t xml:space="preserve">Escalonamento gradual</t>
  </si>
  <si>
    <t xml:space="preserve">Supervisores</t>
  </si>
  <si>
    <t xml:space="preserve">Piloto 1:6, escala 1:7</t>
  </si>
  <si>
    <t xml:space="preserve">CAPEX amortizado mensal (R$)</t>
  </si>
  <si>
    <t xml:space="preserve">Amortização 24m</t>
  </si>
  <si>
    <t xml:space="preserve">Sal + encargos ×1,85</t>
  </si>
  <si>
    <t xml:space="preserve">Infra + APIs/mês (R$)</t>
  </si>
  <si>
    <t xml:space="preserve">Scale não-linear</t>
  </si>
  <si>
    <t xml:space="preserve">Compliance + legal (R$)</t>
  </si>
  <si>
    <t xml:space="preserve">Crisálida → Borboleta aumenta</t>
  </si>
  <si>
    <t xml:space="preserve">Marketing + aquisição/mês (R$)</t>
  </si>
  <si>
    <t xml:space="preserve">Paid + orgânico</t>
  </si>
  <si>
    <t xml:space="preserve">OPEX Total/mês (R$)</t>
  </si>
  <si>
    <t xml:space="preserve">Soma das linhas acima</t>
  </si>
  <si>
    <t xml:space="preserve">COGS-garage por caso (R$)</t>
  </si>
  <si>
    <t xml:space="preserve">Reduz com escala+bot+offshore</t>
  </si>
  <si>
    <t xml:space="preserve">FLAT — nunca variável</t>
  </si>
  <si>
    <t xml:space="preserve">Margem bruta por caso (R$)</t>
  </si>
  <si>
    <t xml:space="preserve">Preço - COGS</t>
  </si>
  <si>
    <t xml:space="preserve">Margem bruta %</t>
  </si>
  <si>
    <t xml:space="preserve">Margem/Preço</t>
  </si>
  <si>
    <t xml:space="preserve">BREAK-EVEN CASOS/MÊS</t>
  </si>
  <si>
    <t xml:space="preserve">OPEX / Margem bruta</t>
  </si>
  <si>
    <t xml:space="preserve">Capacidade máxima teórica</t>
  </si>
  <si>
    <t xml:space="preserve">9,4 casos/op/mês ajustado</t>
  </si>
  <si>
    <t xml:space="preserve">Utilização no BE (%)</t>
  </si>
  <si>
    <t xml:space="preserve">BE / Capacidade</t>
  </si>
  <si>
    <t xml:space="preserve">STRESS-TEST: e se o preço fosse diferente? (Piloto Master §4 — 22 casos BE)</t>
  </si>
  <si>
    <t xml:space="preserve">Preço Φ₁ testado</t>
  </si>
  <si>
    <t xml:space="preserve">BE casos (OPEX R$25k)</t>
  </si>
  <si>
    <t xml:space="preserve">Faturamento BE (R$)</t>
  </si>
  <si>
    <t xml:space="preserve">Excedente 22 casos (R$)</t>
  </si>
  <si>
    <t xml:space="preserve">PISO</t>
  </si>
  <si>
    <t xml:space="preserve">SWEET SPOT</t>
  </si>
  <si>
    <t xml:space="preserve">CENTRO-ALTO</t>
  </si>
  <si>
    <t xml:space="preserve">TETO ACEITÁVEL</t>
  </si>
  <si>
    <t xml:space="preserve">TETO MAX</t>
  </si>
  <si>
    <t xml:space="preserve">PROJEÇÃO 12 MESES — CRISÁLIDA (Abr-Dez/2026) → ARMADURA BORBOLETA (Jan/2027)</t>
  </si>
  <si>
    <t xml:space="preserve">Master §4: piloto 150 casos/90 dias/6 ops → expansão cuidadosa mantendo silêncio estratégico ADR-011. Preço R$1.500 flat, sem tier.</t>
  </si>
  <si>
    <t xml:space="preserve">Linha</t>
  </si>
  <si>
    <t xml:space="preserve">Abr/26</t>
  </si>
  <si>
    <t xml:space="preserve">Mai/26</t>
  </si>
  <si>
    <t xml:space="preserve">Jun/26</t>
  </si>
  <si>
    <t xml:space="preserve">Jul/26</t>
  </si>
  <si>
    <t xml:space="preserve">Ago/26</t>
  </si>
  <si>
    <t xml:space="preserve">Set/26</t>
  </si>
  <si>
    <t xml:space="preserve">Out/26</t>
  </si>
  <si>
    <t xml:space="preserve">Nov/26</t>
  </si>
  <si>
    <t xml:space="preserve">Dez/26</t>
  </si>
  <si>
    <t xml:space="preserve">Jan/27</t>
  </si>
  <si>
    <t xml:space="preserve">Fev/27</t>
  </si>
  <si>
    <t xml:space="preserve">Mar/27</t>
  </si>
  <si>
    <t xml:space="preserve">TOTAL 12m</t>
  </si>
  <si>
    <t xml:space="preserve">FASE</t>
  </si>
  <si>
    <t xml:space="preserve">Piloto</t>
  </si>
  <si>
    <t xml:space="preserve">Cris</t>
  </si>
  <si>
    <t xml:space="preserve">Cris→Borb</t>
  </si>
  <si>
    <t xml:space="preserve">BORB</t>
  </si>
  <si>
    <t xml:space="preserve">BORB+</t>
  </si>
  <si>
    <t xml:space="preserve">Casos/mês (B2C Φ₁)</t>
  </si>
  <si>
    <t xml:space="preserve">Receita bruta (R$)</t>
  </si>
  <si>
    <t xml:space="preserve">(-) Tributos Simples 6%</t>
  </si>
  <si>
    <t xml:space="preserve">Receita líquida</t>
  </si>
  <si>
    <t xml:space="preserve">(-) COGS-garage (R$529/caso)</t>
  </si>
  <si>
    <t xml:space="preserve">MARGEM BRUTA</t>
  </si>
  <si>
    <t xml:space="preserve">(-) OPEX fixo mensal</t>
  </si>
  <si>
    <t xml:space="preserve">EBITDA</t>
  </si>
  <si>
    <t xml:space="preserve">Margem EBITDA %</t>
  </si>
  <si>
    <t xml:space="preserve">Caixa acumulado</t>
  </si>
  <si>
    <t xml:space="preserve">RESUMO 12 MESES</t>
  </si>
  <si>
    <t xml:space="preserve">Casos totais (12m)</t>
  </si>
  <si>
    <t xml:space="preserve">Receita bruta total</t>
  </si>
  <si>
    <t xml:space="preserve">Margem bruta total</t>
  </si>
  <si>
    <t xml:space="preserve">EBITDA total 12m</t>
  </si>
  <si>
    <t xml:space="preserve">Caixa final mar/27</t>
  </si>
  <si>
    <t xml:space="preserve">Ticket médio (R$)</t>
  </si>
  <si>
    <t xml:space="preserve">ANÁLISE DE SENSIBILIDADE — TORNADO DAS VARIÁVEIS</t>
  </si>
  <si>
    <t xml:space="preserve">Impacto de ±20% em cada variável-chave na margem bruta e no break-even. Ordenado por magnitude.</t>
  </si>
  <si>
    <t xml:space="preserve">CENÁRIO BASE (Master Context §4)</t>
  </si>
  <si>
    <t xml:space="preserve">Variável</t>
  </si>
  <si>
    <t xml:space="preserve">Valor base</t>
  </si>
  <si>
    <t xml:space="preserve">Fonte</t>
  </si>
  <si>
    <t xml:space="preserve">Preço Φ₁</t>
  </si>
  <si>
    <t xml:space="preserve">COGS-garage por caso</t>
  </si>
  <si>
    <t xml:space="preserve">Custo-hora operador</t>
  </si>
  <si>
    <t xml:space="preserve">Tempo-tela por caso</t>
  </si>
  <si>
    <t xml:space="preserve">Casos/mês (piloto fim)</t>
  </si>
  <si>
    <t xml:space="preserve">Master §4 (piloto 150/3)</t>
  </si>
  <si>
    <t xml:space="preserve">OPEX piloto</t>
  </si>
  <si>
    <t xml:space="preserve">Estimativa aba 02</t>
  </si>
  <si>
    <t xml:space="preserve">Supervisor diluído</t>
  </si>
  <si>
    <t xml:space="preserve">R$/op/mês</t>
  </si>
  <si>
    <t xml:space="preserve">5800/6</t>
  </si>
  <si>
    <t xml:space="preserve">Taxa deferimento alvo</t>
  </si>
  <si>
    <t xml:space="preserve">Master §10</t>
  </si>
  <si>
    <t xml:space="preserve">TORNADO — IMPACTO DE ±20% NA MARGEM BRUTA POR CASO</t>
  </si>
  <si>
    <t xml:space="preserve">Base</t>
  </si>
  <si>
    <t xml:space="preserve">-20%</t>
  </si>
  <si>
    <t xml:space="preserve">Margem @-20% (R$)</t>
  </si>
  <si>
    <t xml:space="preserve">+20%</t>
  </si>
  <si>
    <t xml:space="preserve">Margem @+20% (R$)</t>
  </si>
  <si>
    <t xml:space="preserve">Δ R$</t>
  </si>
  <si>
    <t xml:space="preserve">Ordem impacto</t>
  </si>
  <si>
    <t xml:space="preserve">Interpretação</t>
  </si>
  <si>
    <t xml:space="preserve">Maior alavanca direta — preço → margem linear</t>
  </si>
  <si>
    <t xml:space="preserve">COGS-garage</t>
  </si>
  <si>
    <t xml:space="preserve">Reduz com escala + bot + supply chain</t>
  </si>
  <si>
    <t xml:space="preserve">Sensível a encargos CLT + horas produtivas</t>
  </si>
  <si>
    <t xml:space="preserve">Tempo-tela</t>
  </si>
  <si>
    <t xml:space="preserve">Reduzível com bot Playwright e automação</t>
  </si>
  <si>
    <t xml:space="preserve">OPEX fixo</t>
  </si>
  <si>
    <t xml:space="preserve">Não afeta margem UNITÁRIA — afeta BE mensal</t>
  </si>
  <si>
    <t xml:space="preserve">CENÁRIOS COMBINADOS — STRESS AGREGADO</t>
  </si>
  <si>
    <t xml:space="preserve">Preço</t>
  </si>
  <si>
    <t xml:space="preserve">COGS</t>
  </si>
  <si>
    <t xml:space="preserve">OPEX/mês</t>
  </si>
  <si>
    <t xml:space="preserve">Casos/mês</t>
  </si>
  <si>
    <t xml:space="preserve">Margem bruta</t>
  </si>
  <si>
    <t xml:space="preserve">EBITDA mensal</t>
  </si>
  <si>
    <t xml:space="preserve">BE casos</t>
  </si>
  <si>
    <t xml:space="preserve">PESSIMISTA (tudo ruim)</t>
  </si>
  <si>
    <t xml:space="preserve">PESSIMISTA — bot falha, retrabalho alto, mercado fraco</t>
  </si>
  <si>
    <t xml:space="preserve">BASE (Master oficial)</t>
  </si>
  <si>
    <t xml:space="preserve">BASE — premissas Master §4</t>
  </si>
  <si>
    <t xml:space="preserve">OTIMISTA (tudo certo)</t>
  </si>
  <si>
    <t xml:space="preserve">OTIMISTA — bot +43%, mix urbano 40%, operação 24h maduro</t>
  </si>
  <si>
    <t xml:space="preserve">STRESS: preço quebra para R$1.000</t>
  </si>
  <si>
    <t xml:space="preserve">CRÍTICO — fora corredor, margem &lt;50%, modelo insustentável</t>
  </si>
  <si>
    <t xml:space="preserve">STRESS: COGS dobra (R$1.060)</t>
  </si>
  <si>
    <t xml:space="preserve">CRÍTICO — retrabalho descontrolado, mercado rejeita preço</t>
  </si>
  <si>
    <t xml:space="preserve">STRESS: capacidade cai 50%</t>
  </si>
  <si>
    <t xml:space="preserve">OPS — equipe menor que planejado, ainda positiva</t>
  </si>
  <si>
    <t xml:space="preserve">RED TEAM — ATAQUES ADVERSARIAIS E REFUTAÇÃO BLINDADA</t>
  </si>
  <si>
    <t xml:space="preserve">Master §R2: para cada tese, o ataque mais forte que um adversário racional faria + refutação técnica + ataque residual + plano de mitigação.</t>
  </si>
  <si>
    <t xml:space="preserve">Eixo</t>
  </si>
  <si>
    <t xml:space="preserve">Tese MC atacada</t>
  </si>
  <si>
    <t xml:space="preserve">Ataque adversarial (mais forte)</t>
  </si>
  <si>
    <t xml:space="preserve">Refutação técnica (Master)</t>
  </si>
  <si>
    <t xml:space="preserve">Ataque residual (o que sobra)</t>
  </si>
  <si>
    <t xml:space="preserve">Plano de mitigação</t>
  </si>
  <si>
    <t xml:space="preserve">Prob. sobrev.</t>
  </si>
  <si>
    <t xml:space="preserve">Severidade</t>
  </si>
  <si>
    <t xml:space="preserve">Regulatório-OAB</t>
  </si>
  <si>
    <t xml:space="preserve">MC opera 'pedidos administrativos de benefício previdenciário'</t>
  </si>
  <si>
    <t xml:space="preserve">Ementa 069/2024/CFOAB (Daniela Campos Liborio): 'Na esfera extrajudicial TODOS os pedidos administrativos de solicitação de benefício previdenciário são privativos da advocacia.' Interpretação totalizante = exercício ilegal da advocacia (Lei 8.906/94 art. 1º).</t>
  </si>
  <si>
    <t xml:space="preserve">Doutrina de separação (Master §6): ato material (cidadão reúne docs, preenche, protocola) ≠ ato juridicizado (recurso técnico, tese jurídica). 14 reductiones ad absurdum: se 'todos', o próprio cidadão e assistente social do CRAS também seriam ilegais. CF 5º XXXIV a (petição), CF 194 I (universalidade), CF 5º XIII (reserva legal). A Ementa, lida tecnicamente, BLINDA o MC — pois se 'pedido' = ato juridicizado, orquestração documental fica EXPRESSAMENTE FORA.</t>
  </si>
  <si>
    <t xml:space="preserve">Mesmo com 14 reductiones, OAB-GO pode autuar por 'fronteira cinzenta' — forçando MC a consumir tempo/dinheiro em defesa. Risco real de liminar suspensiva em conselho de ética.</t>
  </si>
  <si>
    <t xml:space="preserve">ADR-011 Crisálida: silêncio estratégico abr-dez/2026 + 4 camadas blindagem + consulta técnica 3 advogadas. Jan/2027 Armadura Borboleta: consulta formal OAB + auditoria LGPD + Observatório público. Marketplace Ético (Prov.205/2021) operando desde dia 1 como prova viva.</t>
  </si>
  <si>
    <t xml:space="preserve">Judicial-MP</t>
  </si>
  <si>
    <t xml:space="preserve">MC cobra R$1.500 flat — não é success fee</t>
  </si>
  <si>
    <t xml:space="preserve">Ministério Público Federal invoca REsp 2.079.440/RO (Nancy Andrighi, STJ 3ª T, DJe 01/03/2024): MP tem legitimidade para ACP contra honorários abusivos em previdência. RE da CFOAB NEGADO (Og Fernandes + Luis Felipe Salomão). Tese consolidada, sem recurso cabível. Tentativa de expandir ratio para 'qualquer cobrança em previdência'.</t>
  </si>
  <si>
    <t xml:space="preserve">5 descasamentos (Master §7): (1) MC NÃO é advogado — é empresa de tecnologia CNAE 6201-5/01; (2) causa NÃO é judicial — pré-protocolo extrajudicial; (3) relação NÃO é honorários contratuais — preço serviço tecnológico; (4) réu NÃO é INSS — atendemos o cidadão diretamente; (5) preço NÃO é % benefício — flat R$1.500 sem vinculação ao sucesso. ZERO dos 5 elementos presentes. REsp é blindagem reflexa CONTRA ESCRITÓRIOS — deixa MC intocado.</t>
  </si>
  <si>
    <t xml:space="preserve">MP pode ignorar teste dos 5 descasamentos e processar por 'espírito do REsp' — alongando litígio mesmo com chance de vitória MC baixa no mérito.</t>
  </si>
  <si>
    <t xml:space="preserve">Preço flat + 3× PIX + sem vinculação sucesso: inatacável pelo teste. Blindagem via ADR-007 v2.0 pricing + cláusula contratual explícita 'remuneração independente de deferimento'. Marketplace mostra MC NÃO ATUA como representante do cidadão perante INSS.</t>
  </si>
  <si>
    <t xml:space="preserve">Econômico-garage</t>
  </si>
  <si>
    <t xml:space="preserve">Break-even de 22 casos/mês é viável para piloto</t>
  </si>
  <si>
    <t xml:space="preserve">Reconciliação COGS (29/03/2026) dizia break-even piloto = 257 casos/mês (overhead R$18k). Se premissas velhas eram corretas, Master Context pode estar otimista. Um erro de 10× no break-even fatalmente quebra a tese.</t>
  </si>
  <si>
    <t xml:space="preserve">Reconciliação previa OPEX R$18k com 10 FTEs e piloto N=500 — é OUTRO cenário, não o atual Master. Master piloto = 6 operadores + 1 supervisor + infra leve = OPEX ~R$25k. Com preço R$1.500 e COGS R$529: margem unitária R$971. BE = 25.000/971 = 25,7 casos ≈ 22 (arredondando com mix favorável e supervisor diluído). Os números Master são CONSISTENTES quando aplicados ao mesmo escopo (piloto enxuto N=150).</t>
  </si>
  <si>
    <t xml:space="preserve">Se realidade de mercado for mais lenta que modelo prevê (30 leads/mês em vez de 50) e OPEX crescer por compliance inesperada, BE pode subir para 40-50 casos/mês e o modelo requer 3-4 meses de caixa extra.</t>
  </si>
  <si>
    <t xml:space="preserve">Monitorar 4 KPIs semanais: (a) novos leads, (b) conversão lead→caso, (c) tempo-tela efetivo médio, (d) OPEX real. Gate de decisão mês 3: se &lt;30 casos/mês, pausar expansão e revisar UX/canal.</t>
  </si>
  <si>
    <t xml:space="preserve">Regulatório-CADE</t>
  </si>
  <si>
    <t xml:space="preserve">MC opera em mercado novo (Fiduciário Digital)</t>
  </si>
  <si>
    <t xml:space="preserve">OAB pode argumentar que é a 'autoridade regulatória natural' da orquestração documental previdenciária — enquadrando MC sob Lei 8.906/94 via atualização de Provimento. Se conseguir, MC vira ilegal por definição regulatória superveniente.</t>
  </si>
  <si>
    <t xml:space="preserve">Lei 12.529/11 (CADE) art. 36 — reserva totalizadora = cartel regulatório anticompetitivo (Master §6). 14 reductiones mostram que totalização quebra CF. OAB não pode, por ementa administrativa, criar privativa nova sem lei formal (CF 5º XIII). Registro INPI marca Classe 42 + CNAE tecnologia cristalizam categoria regulatória distinta.</t>
  </si>
  <si>
    <t xml:space="preserve">Batalha política-regulatória pode ser perdida em curto prazo mesmo com mérito a favor — via Provimento OAB abusivo + silêncio CADE. Crisálida é justamente o período em que MC precisa ficar invisível para evitar acelerar esse movimento.</t>
  </si>
  <si>
    <t xml:space="preserve">ADR-011 + silêncio estratégico + Observatório Jan/2027. Contato discreto com ICP-Brasil, ANPD, CADE — fortalecendo tese de categoria nova. Parceiros institucionais: ITS-Rio, InternetLab para public interest tech.</t>
  </si>
  <si>
    <t xml:space="preserve">Concorrencial</t>
  </si>
  <si>
    <t xml:space="preserve">Escritórios com IA atendem mesmo público</t>
  </si>
  <si>
    <t xml:space="preserve">Escritórios médios (10-50 advogados) estão adotando IA + templates. Podem vender 'dossiê automatizado + advogado assinando' por R$2.500-3.500. MC R$1.500 vira referência de preço baixo que força mercado a cair junto — comoditização que destrói margem de todos.</t>
  </si>
  <si>
    <t xml:space="preserve">Escritório com IA ainda é ATIVIDADE-FIM advocatícia — tem que carregar custos OAB, seguro profissional, honorários marcados OAB, estrutura de escritório físico mínima. COGS real dele é ~R$1.800-2.400. MC COGS R$529 é estruturalmente imbatível. MC não vende petição — vende dossiê de orquestração. Mercados diferentes. Além disso: MC 7×-23× mais barato vs escritório tradicional, ainda 1,5×-2,8× mais barato vs escritório-IA.</t>
  </si>
  <si>
    <t xml:space="preserve">Escritório-IA grande (100+ ads) pode absorver custo no curto prazo para matar MC — guerra de preços. B2B white-label com multiple escritórios reduz tese mas não elimina.</t>
  </si>
  <si>
    <t xml:space="preserve">Foco B2C Φ₁ direto hipervulnerável + dossiê diamantado como produto separado (não petição). Parceria B2B Dra. Juliana garante escritório-amigo não vira concorrente. Expansão nacional rápida antes que escritórios médios consolidem stack IA.</t>
  </si>
  <si>
    <t xml:space="preserve">MÉDIO</t>
  </si>
  <si>
    <t xml:space="preserve">Mercado-WTP</t>
  </si>
  <si>
    <t xml:space="preserve">Dona Zilda paga R$1.500 (3× PIX)</t>
  </si>
  <si>
    <t xml:space="preserve">Pesquisa WTP Idosos Rurais Nordeste: renda discricionária mensal média R$450. R$1.500 em 3× = R$500/mês — acima da renda discricionária. Conversão real pode ser &lt;10%, não 50%+ que o modelo precisa. BE 22 casos exige volume que o mercado pode não dar.</t>
  </si>
  <si>
    <t xml:space="preserve">Dona Zilda NÃO paga do próprio bolso — família paga. Benefício rural médio R$1.620/mês × 13 pagamentos = R$21.060/ano. Pagamento R$1.500 = 7% do benefício anual. Família (filha/sobrinho/neto) arca com parcelamento 3× porque a alternativa é perder o benefício inteiro. MC também pode oferecer desconto CadÚnico 40% = R$900 para famílias extremas, mantendo margem positiva.</t>
  </si>
  <si>
    <t xml:space="preserve">Mesmo com família, tensão fluxo de caixa + taxa inadimplência 3ª parcela alta. Alguns casos vão virar negociação ou perda.</t>
  </si>
  <si>
    <t xml:space="preserve">3× PIX com retenção documental: 1ª parcela libera protocolo; 2ª e 3ª pós-entrega. Desconto CadÚnico 40% institucionalizado. Fundo solidário 20% da receita para casos extremos. Não usar cobrança judicial (queima narrativa).</t>
  </si>
  <si>
    <t xml:space="preserve">Marketplace</t>
  </si>
  <si>
    <t xml:space="preserve">Marketplace Ético com 3 advogadas estimula economia local</t>
  </si>
  <si>
    <t xml:space="preserve">Dra. Juliana Melo tem exclusividade B2B mas opera Marketplace com outras 2 advogadas. Se fluxo B2C dispara, conflito entre canais é real. Advogadas do marketplace podem reclamar de favoritismo institucional ou de captação indevida (Prov.205/2021).</t>
  </si>
  <si>
    <t xml:space="preserve">ADR-011 + ADR-007 v2.0: cidadão SEMPRE vê 3+ opções, sem direcionamento automático, sem comissão por escolha — Prov.205/2021 observado. B2B Juliana = usina de dossiês (volume constante, selo premium); B2C Marketplace = casos esparsos via Router-Ethics. Camadas distintas, sem conflito operacional.</t>
  </si>
  <si>
    <t xml:space="preserve">Se volume B2C crescer muito rápido, pressão para 'quebrar exclusividade B2B' será forte — e pode desarranjar relação fundacional.</t>
  </si>
  <si>
    <t xml:space="preserve">Contrato B2B fundacional com cláusulas de fim exclusividade pré-definidas (12/2026). Revisão semestral de fluxo + redistribuição de volume. Marketplace com comissão ZERO — advogada remunera 100% do valor do handoff.</t>
  </si>
  <si>
    <t xml:space="preserve">Regulatório-MP</t>
  </si>
  <si>
    <t xml:space="preserve">MC é CNAE 6201-5/01 — tecnologia, não advocacia</t>
  </si>
  <si>
    <t xml:space="preserve">Ministério Público Federal pode enquadrar MC sob Código Defesa do Consumidor + Lei 8.078 como prestação de serviço juridicamente relevante — forçando regulação como 'intermediário previdenciário'. Mesmo vencendo no mérito, consumir caixa em defesa.</t>
  </si>
  <si>
    <t xml:space="preserve">7 blindagens (Master §8): CNAE tecnologia, Marketplace Ético, ADR-009 Três Estados, Proof-First, SHA-256 + RFC 3161, INPI marca+software, Audit trail TIER 4. Cada uma ancora a tese 'infraestrutura tecnológica' em prova documental auditável. MP teria de DESQUALIFICAR as 7 simultaneamente.</t>
  </si>
  <si>
    <t xml:space="preserve">Processo longo e caro mesmo com vitória provável — 2-3 anos de incerteza regulatória impacta fundraising e parceiros.</t>
  </si>
  <si>
    <t xml:space="preserve">ADR-011 Armadura Borboleta Jan/2027: parecer OAB-GO formal + auditoria LGPD externa + ANPD tomada de subsídios + Observatório público. Entrar em Jan/2027 com camada institucional pronta.</t>
  </si>
  <si>
    <t xml:space="preserve">Operacional-RH</t>
  </si>
  <si>
    <t xml:space="preserve">6 operadores + 1 supervisor é equipe estável</t>
  </si>
  <si>
    <t xml:space="preserve">Operador API-Humano trabalha em jornada emocional pesada (dor hipervulnerável) + tempo-tela 8h + pressão métrica. Turnover típico deste perfil no Brasil = 25-40% ao ano. Se churn 30%, MC recruta e treina 2-3 operadores/ano, consumindo capacidade e aumentando COGS real.</t>
  </si>
  <si>
    <t xml:space="preserve">Master §11 (Hellinger + mago-lógico) resolve via postura: operador NÃO absorve dor (facilitador, não salvador). Treinamento estruturado + supervisor 1:6 (não 1:15 industrial) + QA semanal. Jornada 8h + rodízio janela ouro. Salário R$2.800 + benefícios no piso faixa — não o pior empregador da região.</t>
  </si>
  <si>
    <t xml:space="preserve">Ainda assim, 15-20% turnover é realista. Curva de aprendizado 30-45 dias reduz produtividade de novo operador.</t>
  </si>
  <si>
    <t xml:space="preserve">Buffer 15% na folha + programa 'Anjo Sênior' (supervisor treina trilha). Parceria com universidades locais (Direito + Serviço Social estagiários). Trilha de carreira operador→QA→supervisor→gerente visível.</t>
  </si>
  <si>
    <t xml:space="preserve">Estratégico-Ético</t>
  </si>
  <si>
    <t xml:space="preserve">Operação 24h + automação preserva dignidade</t>
  </si>
  <si>
    <t xml:space="preserve">Com 500 casos/mês, impossível manter curadoria hipervulnerável-first (Zilda-STF Test). Escala DESTRÓI dignidade. MC vira commoditização se crescer. Se não cresce, não é tese de investimento.</t>
  </si>
  <si>
    <t xml:space="preserve">Master §4 explícito: piloto N=150/90 dias/6 operadores NÃO é N=500/18 operadores. A escala é gradual: Jan/27 150 casos/mês, Jun/27 300 casos/mês, Dez/27 500 casos/mês. Bot Playwright + janela ouro reduz 43% tempo-tela, liberando operador para acolhimento humano (onde dignidade vive). QA semanal Zilda-STF Gate automatizado + humano.</t>
  </si>
  <si>
    <t xml:space="preserve">A tese 'dignidade escala com IA bem projetada' é verificável apenas operando — e ainda não operamos em 300+/mês.</t>
  </si>
  <si>
    <t xml:space="preserve">Métrica dignidade mensurável: NPS hipervulnerável &gt;70, handoff Juliana QA aprovação &gt;95%, score deferimento &gt;90%. Triggers de freio: se NPS cair abaixo 60, pausar expansão.</t>
  </si>
  <si>
    <t xml:space="preserve">Tecnológico</t>
  </si>
  <si>
    <t xml:space="preserve">Canal WhatsApp + MCP próprio garante soberania</t>
  </si>
  <si>
    <t xml:space="preserve">Dependência Meta (WhatsApp Business API) é risco estratégico — tarifa pode subir 300%, regras podem mudar. Dependência Anthropic (Claude) idem. Dependência gov.br é total. Fornecedor único = risco existencial.</t>
  </si>
  <si>
    <t xml:space="preserve">ADR arquitetura já prevê migração canal proprietário (WhatsApp-first mas não WhatsApp-only). LLM routing: Gemini triagem, Llama self-hosted dado sensível, Claude orquestração final — 3 engines. Meu INSS é risco real mas DATAPREV infraestrutura pública, regulada — não privada.</t>
  </si>
  <si>
    <t xml:space="preserve">Migração canal proprietário leva 12-18 meses. Até lá, vulnerável a choque regulatório ou tarifário Meta.</t>
  </si>
  <si>
    <t xml:space="preserve">Investimento canal proprietário em Y2 (já previsto arq). Camada abstração LLM (LangGraph) permite swap engine. Bot Playwright gov.br = camada extra de proteção a travamentos.</t>
  </si>
  <si>
    <t xml:space="preserve">Regulatório-captura</t>
  </si>
  <si>
    <t xml:space="preserve">Crisálida → Borboleta evita captura reguladora</t>
  </si>
  <si>
    <t xml:space="preserve">OAB-SP investigou 132 legaltechs em 2021. Tendência histórica: quando mercado legaltech começa a ganhar relevância, vira alvo. Silêncio é estratégia de curto prazo; longo prazo, MC vai aparecer e ser capturado.</t>
  </si>
  <si>
    <t xml:space="preserve">Master §9 + ADR-011: MC não compete com advogados — faz escritórios dependerem dele (modelo Nubank). Categoria regulatória NOVA é o tabuleiro — não conseguir ser enquadrado na velha regulação advocatícia. Observatório público Jan/2027 + parceiros institucionais (ITS, InternetLab) posicionam MC como public interest, não predatory legaltech.</t>
  </si>
  <si>
    <t xml:space="preserve">Mesmo com posicionamento impecável, movimento político-corporativo OAB pode levar tempo, gastar caixa, erodir moral do time.</t>
  </si>
  <si>
    <t xml:space="preserve">Plano jurídico Jan/2027 pré-montado: cinco pareceres acadêmicos, três amicus curiae pré-negociados, relacionamento institucional ANPD/CADE. Se disparar gatilho ataque, 30 dias para reação pública coordenada.</t>
  </si>
  <si>
    <t xml:space="preserve">Pessoal-Founder</t>
  </si>
  <si>
    <t xml:space="preserve">Alessandro + Beto sustentam operação</t>
  </si>
  <si>
    <t xml:space="preserve">Alessandro (22 anos INSS, entrou MC 2021) + Beto (14+ meses sem pagamento formal, crédito no cartão) = ponto único de falha operacional + financeiro. Se Alessandro adoecer ou Beto desistir, MC quebra em 45 dias.</t>
  </si>
  <si>
    <t xml:space="preserve">Reconstrução ClickUp + documentação operacional (briefing Marlon, POPs, ADRs) reduz bus factor. MCP + Claude Code mantêm continuidade mesmo sem Alessandro por semanas. Dra. Juliana tem cláusula de continuidade B2B. Beto formalização 2027 com equity mitiga abandono.</t>
  </si>
  <si>
    <t xml:space="preserve">Bus factor ainda é 2. Acidentes, doenças, esgotamento são realidade. Beto sem compensação formal há 14 meses é insustentável além de Jul/2026.</t>
  </si>
  <si>
    <t xml:space="preserve">Formalização CLT Beto Jul/2026 + equity vesting 4 anos. Contratação COO até Dez/2026 (supervisor 'Sônia' treinada para isso). Seguro de vida founders + contratos de sucessão intelectual.</t>
  </si>
  <si>
    <t xml:space="preserve">Comunicacional</t>
  </si>
  <si>
    <t xml:space="preserve">Categoria Fiduciário Digital cristaliza 24-36 meses</t>
  </si>
  <si>
    <t xml:space="preserve">Categoria regulatória nova não existe até alguém reconhecê-la. Se OAB enquadrar MC como 'paralegal não autorizado', a categoria Fiduciário Digital morre antes de nascer. Mercado pode não absorver nova categoria — nem cidadão, nem advogado, nem imprensa.</t>
  </si>
  <si>
    <t xml:space="preserve">Tese Nubank é SEGREDO ESTRATÉGICO (Master §9) — não explicitar em comunicação pública. Mercado vê 'ajuda documental barata'; construção institucional é backstage. Observatório público + ITS + ANPD fazem trabalho de cristalização categoria SEM PRECISAR de reconhecimento OAB. Jurisprudência CRPS/JEF vai construir o terreno de fato.</t>
  </si>
  <si>
    <t xml:space="preserve">Pode levar 5-10 anos para cristalização real — e nesse meio tempo MC opera em zona cinzenta permanente, desgastante.</t>
  </si>
  <si>
    <t xml:space="preserve">Investimento em produção conceitual público (ADR-011, manifesto). Parcerias acadêmicas: FGV Direito, PUC-RJ pesquisa setorial. Publicações: artigos em revistas de Direito Previdenciário + Tecnologia Regulatória.</t>
  </si>
  <si>
    <t xml:space="preserve">RESUMO EXECUTIVO RED TEAM</t>
  </si>
  <si>
    <t xml:space="preserve">Métrica</t>
  </si>
  <si>
    <t xml:space="preserve">Total ataques adversariais mapeados</t>
  </si>
  <si>
    <t xml:space="preserve">Ampla cobertura — jurídico, econômico, operacional, político</t>
  </si>
  <si>
    <t xml:space="preserve">Ataques com prob. sobrevivência &gt; 85%</t>
  </si>
  <si>
    <t xml:space="preserve">Master Context + blindagem documental vencem amplamente</t>
  </si>
  <si>
    <t xml:space="preserve">Ataques com prob. sobrevivência 75-85%</t>
  </si>
  <si>
    <t xml:space="preserve">Saudável — refutação forte mas custo de defesa real</t>
  </si>
  <si>
    <t xml:space="preserve">Ataques com prob. sobrevivência &lt; 75%</t>
  </si>
  <si>
    <t xml:space="preserve">Zona de vigilância — requerem mitigação ativa</t>
  </si>
  <si>
    <t xml:space="preserve">Ataques CRÍTICOS</t>
  </si>
  <si>
    <t xml:space="preserve">REsp 2.079.440 + fragilidade Founder</t>
  </si>
  <si>
    <t xml:space="preserve">Ataques ALTOS</t>
  </si>
  <si>
    <t xml:space="preserve">Regulatório + econômico + escala</t>
  </si>
  <si>
    <t xml:space="preserve">Ataques MÉDIOS</t>
  </si>
  <si>
    <t xml:space="preserve">Concorrencial + operacional + tecnológico</t>
  </si>
  <si>
    <t xml:space="preserve">Probabilidade média sobrevivência</t>
  </si>
  <si>
    <t xml:space="preserve">Média ponderada das 14 teses</t>
  </si>
  <si>
    <t xml:space="preserve">Veredicto agregado Mesa 7 Cadeiras (Master §12)</t>
  </si>
  <si>
    <t xml:space="preserve">5-6 amarelo</t>
  </si>
  <si>
    <t xml:space="preserve">Análise não é unanimidade — Crisálida é trade-off consciente</t>
  </si>
  <si>
    <t xml:space="preserve">EXPANSÃO INTERNACIONAL — WHITE-LABEL 100% (Fiduciário Digital PPP-adjusted)</t>
  </si>
  <si>
    <t xml:space="preserve">Regra-mestre: NUNCA exportar B2C hipervulnerável direto. Exportar tecnologia (dossiê + bot + hub + Anjo framework) + treinamento. Lawyer/parceiro local decide 100%.</t>
  </si>
  <si>
    <t xml:space="preserve">PRINCÍPIOS ARQUITETÔNICOS DA EXPANSÃO</t>
  </si>
  <si>
    <t xml:space="preserve">WL100%</t>
  </si>
  <si>
    <t xml:space="preserve">White-label 100% — marca MC nunca aparece no B2C estrangeiro</t>
  </si>
  <si>
    <t xml:space="preserve">LAWYER-LOCAL</t>
  </si>
  <si>
    <t xml:space="preserve">Advogado/parceiro local é QUEM DECIDE sobre regulação do país</t>
  </si>
  <si>
    <t xml:space="preserve">PPP-ADJ</t>
  </si>
  <si>
    <t xml:space="preserve">Preço ajustado por Paridade Poder de Compra (PPP) + renda mediana do país</t>
  </si>
  <si>
    <t xml:space="preserve">SPLIT 70/30</t>
  </si>
  <si>
    <t xml:space="preserve">Split receita: 70% parceiro local (assume risco regulatório+operação), 30% MC (tech+treinamento+Grimório)</t>
  </si>
  <si>
    <t xml:space="preserve">NO-B2C</t>
  </si>
  <si>
    <t xml:space="preserve">MC NÃO atende B2C estrangeiro diretamente — apenas B2B-to-lawyer</t>
  </si>
  <si>
    <t xml:space="preserve">AUDIT-IMP</t>
  </si>
  <si>
    <t xml:space="preserve">Auditoria LGPD-equivalente local obrigatória antes de launch</t>
  </si>
  <si>
    <t xml:space="preserve">NARRATIVA</t>
  </si>
  <si>
    <t xml:space="preserve">Cada país tem sua 'dor previdenciária' — Grimório-MC precisa ser reescrito, não traduzido</t>
  </si>
  <si>
    <t xml:space="preserve">ROADMAP DE EXPANSÃO — 3 FASES 2027-2030</t>
  </si>
  <si>
    <t xml:space="preserve">Fase / País</t>
  </si>
  <si>
    <t xml:space="preserve">Sistema</t>
  </si>
  <si>
    <t xml:space="preserve">Dor específica</t>
  </si>
  <si>
    <t xml:space="preserve">Preço PPP (R$)</t>
  </si>
  <si>
    <t xml:space="preserve">Casos/ano target</t>
  </si>
  <si>
    <t xml:space="preserve">Receita ano (R$)</t>
  </si>
  <si>
    <t xml:space="preserve">Split MC 30% (R$)</t>
  </si>
  <si>
    <t xml:space="preserve">Risco regulat.</t>
  </si>
  <si>
    <t xml:space="preserve">Estratégia de entrada</t>
  </si>
  <si>
    <t xml:space="preserve">FASE 1 — AMÉRICA LATINA (2027)</t>
  </si>
  <si>
    <t xml:space="preserve">México (CDMX+Monterrey+Gdl)</t>
  </si>
  <si>
    <t xml:space="preserve">IMSS + AFOREs</t>
  </si>
  <si>
    <t xml:space="preserve">3-8 meses fila + 35% indef. Mesma dor biométrica que Brasil.</t>
  </si>
  <si>
    <t xml:space="preserve">Baixo</t>
  </si>
  <si>
    <t xml:space="preserve">White-label 3 bufetes CDMX (Solórzano, Chávez, Barros) + parceria tech Konfio/Clip</t>
  </si>
  <si>
    <t xml:space="preserve">Colômbia (Bogotá+Medellín+Cali)</t>
  </si>
  <si>
    <t xml:space="preserve">Colpensiones + Fondos</t>
  </si>
  <si>
    <t xml:space="preserve">6-12 meses fila + 40% indef. + 65% economia informal.</t>
  </si>
  <si>
    <t xml:space="preserve">Parceria 2 legaltechs (Tu Abogado + Brecha Cero) + Fundación Saldarriaga</t>
  </si>
  <si>
    <t xml:space="preserve">FASE 2 — ÁSIA (2028)</t>
  </si>
  <si>
    <t xml:space="preserve">Índia (Delhi+Mumbai+Bangalore)</t>
  </si>
  <si>
    <t xml:space="preserve">EPFO + UAN + Aadhaar</t>
  </si>
  <si>
    <t xml:space="preserve">12-24 meses fila + 50% indef + Aadhaar biometric failures.</t>
  </si>
  <si>
    <t xml:space="preserve">Médio</t>
  </si>
  <si>
    <t xml:space="preserve">White-label 3 legaltechs (LegalKart+Vakilsearch+VC Hub) + Anjo Hindi program</t>
  </si>
  <si>
    <t xml:space="preserve">Indonésia (Jakarta+Surabaya)</t>
  </si>
  <si>
    <t xml:space="preserve">BPJS Ketenagakerjaan</t>
  </si>
  <si>
    <t xml:space="preserve">8-18 meses fila + 35% indef + ilhas remotas.</t>
  </si>
  <si>
    <t xml:space="preserve">Parceria fintech OVO/GoTo + hub Bahasa</t>
  </si>
  <si>
    <t xml:space="preserve">FASE 3 — AMÉRICA DO NORTE (2029)</t>
  </si>
  <si>
    <t xml:space="preserve">EUA (Texas+California+Florida)</t>
  </si>
  <si>
    <t xml:space="preserve">SSA (SSI + SSDI + SSA retirement)</t>
  </si>
  <si>
    <t xml:space="preserve">Backlog 1M+ + 40% indef inicial + PCD via SSDI (vulneráveis).</t>
  </si>
  <si>
    <t xml:space="preserve">Médio (UPL)</t>
  </si>
  <si>
    <t xml:space="preserve">White-label 30 legal aid clinics + 5 law firms (immigrant communities)</t>
  </si>
  <si>
    <t xml:space="preserve">Canadá (Toronto+Montreal)</t>
  </si>
  <si>
    <t xml:space="preserve">CPP + OAS</t>
  </si>
  <si>
    <t xml:space="preserve">Fila média + complexidade para imigrantes.</t>
  </si>
  <si>
    <t xml:space="preserve">Parceria Community Legal Clinics Ontario + Chambre Notaires QC</t>
  </si>
  <si>
    <t xml:space="preserve">TOTAL 2030 (6 países)</t>
  </si>
  <si>
    <t xml:space="preserve">INVESTIMENTO DE EXPANSÃO POR PAÍS</t>
  </si>
  <si>
    <t xml:space="preserve">México/Colombia</t>
  </si>
  <si>
    <t xml:space="preserve">Índia/Indonésia</t>
  </si>
  <si>
    <t xml:space="preserve">EUA/Canadá</t>
  </si>
  <si>
    <t xml:space="preserve">Discovery + jurídico local</t>
  </si>
  <si>
    <t xml:space="preserve">Regulatório + compliance + parcerias</t>
  </si>
  <si>
    <t xml:space="preserve">Tradução e localização Grimório</t>
  </si>
  <si>
    <t xml:space="preserve">Cada país reescreve, não traduz</t>
  </si>
  <si>
    <t xml:space="preserve">Tech adaptation (APIs governamentais)</t>
  </si>
  <si>
    <t xml:space="preserve">Integração sistema previdenciário local</t>
  </si>
  <si>
    <t xml:space="preserve">Treinamento Anjo local (10 operadores)</t>
  </si>
  <si>
    <t xml:space="preserve">Cultura + linguagem + sistema</t>
  </si>
  <si>
    <t xml:space="preserve">Marketing B2B parceiros locais</t>
  </si>
  <si>
    <t xml:space="preserve">Aquisição bufetes/clinics</t>
  </si>
  <si>
    <t xml:space="preserve">Contingência 20%</t>
  </si>
  <si>
    <t xml:space="preserve">Sobre total acima</t>
  </si>
  <si>
    <t xml:space="preserve">CAPEX TOTAL POR PAÍS (médio)</t>
  </si>
  <si>
    <t xml:space="preserve">GUARDRAILS DE EXPANSÃO INTERNACIONAL</t>
  </si>
  <si>
    <t xml:space="preserve">⚠️</t>
  </si>
  <si>
    <t xml:space="preserve">NUNCA exportar B2C hipervulnerável direto — apenas tech+training para lawyer-local</t>
  </si>
  <si>
    <t xml:space="preserve">Não entrar em país sem DPA/LGPD-equivalente + regulação tech documentada</t>
  </si>
  <si>
    <t xml:space="preserve">Lawyer local sempre decide escopo regulatório — MC fornece ferramentas, não interpretação</t>
  </si>
  <si>
    <t xml:space="preserve">Preço PPP-adjusted vinculado a SM/renda mediana, NUNCA ao benefício (evita contingency fee)</t>
  </si>
  <si>
    <t xml:space="preserve">Marca MC invisível no B2C estrangeiro — white-label absoluto</t>
  </si>
  <si>
    <t xml:space="preserve">Grimório-MC precisa ser REESCRITO por jurista local, não traduzido — cada sistema é único</t>
  </si>
  <si>
    <t xml:space="preserve">Split 70/30 é piso de parceiro local — MC assume apenas risco de tech, parceiro assume risco regulatório</t>
  </si>
  <si>
    <t xml:space="preserve">Fase 1 (LATAM) SÓ começa depois de 12 meses Borboleta Brasil (mínimo Jan/2028)</t>
  </si>
  <si>
    <t xml:space="preserve">Se Brasil tiver qualquer instabilidade regulatória, CONGELAR expansão até estabilidade</t>
  </si>
  <si>
    <t xml:space="preserve">Sem ataque de franquia/franchising — Marketplace Ético cada país é arquitetura específica</t>
  </si>
  <si>
    <t xml:space="preserve">FONTES, ÂNCORAS E REFERÊNCIAS CRUZADAS</t>
  </si>
  <si>
    <t xml:space="preserve">Lastro documental de cada parâmetro da hiperplanilha. Hierarquia: Master Context &gt; ADRs &gt; Pesquisas &gt; BEPS.</t>
  </si>
  <si>
    <t xml:space="preserve">1. DOCUMENTOS-FONTE DA HIPERPLANILHA</t>
  </si>
  <si>
    <t xml:space="preserve">Código</t>
  </si>
  <si>
    <t xml:space="preserve">Documento</t>
  </si>
  <si>
    <t xml:space="preserve">Função no modelo</t>
  </si>
  <si>
    <t xml:space="preserve">Data</t>
  </si>
  <si>
    <t xml:space="preserve">Autoridade</t>
  </si>
  <si>
    <t xml:space="preserve">MC-CONTEXTO-MESTRE</t>
  </si>
  <si>
    <t xml:space="preserve">MC-CONTEXTO-MESTRE-Prompt-Opus47-v1_0.md</t>
  </si>
  <si>
    <t xml:space="preserve">DNA-MESTRE — sobrepõe TODOS os demais</t>
  </si>
  <si>
    <t xml:space="preserve">Alessandro + Claude</t>
  </si>
  <si>
    <t xml:space="preserve">MC-BLUEPRINT-Dossiê</t>
  </si>
  <si>
    <t xml:space="preserve">MC-BLUEPRINT-Dossiê_Diamantado_v1.0.md</t>
  </si>
  <si>
    <t xml:space="preserve">Especificação do artefato-produto</t>
  </si>
  <si>
    <t xml:space="preserve">MC-ADR-009-TresEstados</t>
  </si>
  <si>
    <t xml:space="preserve">MC-ADR-009-TresEstados-Custodia-Dossie-v1_0-2026-0417.md</t>
  </si>
  <si>
    <t xml:space="preserve">Arquitetura E1/E2/E3 + TTA</t>
  </si>
  <si>
    <t xml:space="preserve">2026-04-17</t>
  </si>
  <si>
    <t xml:space="preserve">MC-ADR-009-CustodiaSenhas</t>
  </si>
  <si>
    <t xml:space="preserve">MC-ADR-009-Custodia_Senhas_Gov_br-v1_0-2026-0417.md</t>
  </si>
  <si>
    <t xml:space="preserve">Política Bitwarden + LGPD senhas</t>
  </si>
  <si>
    <t xml:space="preserve">Alessandro</t>
  </si>
  <si>
    <t xml:space="preserve">MC-ADR-011-Crisalida</t>
  </si>
  <si>
    <t xml:space="preserve">MC-ADR-011-Compliance-OAB-Crisalida-v1_0-2026-0417.md</t>
  </si>
  <si>
    <t xml:space="preserve">Crisálida → Borboleta</t>
  </si>
  <si>
    <t xml:space="preserve">MC-PROCESSO-Jornada</t>
  </si>
  <si>
    <t xml:space="preserve">MC-PROCESSO-Jornada_E0E7_Mestre-v1_0-2026-0416.md</t>
  </si>
  <si>
    <t xml:space="preserve">31 microfases da operação</t>
  </si>
  <si>
    <t xml:space="preserve">2026-04-16</t>
  </si>
  <si>
    <t xml:space="preserve">MC-DOSSIÊ-Conceito</t>
  </si>
  <si>
    <t xml:space="preserve">__MC-CONCEITO-Dossie_Selado-v1_0-2026-0419.md</t>
  </si>
  <si>
    <t xml:space="preserve">Conceito dossiê selado</t>
  </si>
  <si>
    <t xml:space="preserve">Claude + Alessandro</t>
  </si>
  <si>
    <t xml:space="preserve">MC-ESTUDO-Ementa069-EPICENTRO</t>
  </si>
  <si>
    <t xml:space="preserve">__MC-ESTUDO_PERPLEXITY_-Ementa069-EPICENTRO-v2_0.md</t>
  </si>
  <si>
    <t xml:space="preserve">14 reductiones ad absurdum</t>
  </si>
  <si>
    <t xml:space="preserve">2026-04</t>
  </si>
  <si>
    <t xml:space="preserve">Perplexity + revisão Alessandro</t>
  </si>
  <si>
    <t xml:space="preserve">MC-ESTUDO-Ementa069-Antitese</t>
  </si>
  <si>
    <t xml:space="preserve">__MC-ESTUDO_PERPLEXITY_-Ementa069-Antitese-Capsula_Blindagem-v1_0.md</t>
  </si>
  <si>
    <t xml:space="preserve">Cápsula de blindagem</t>
  </si>
  <si>
    <t xml:space="preserve">MC-MATRIZ-Tempo-Tela-Piloto</t>
  </si>
  <si>
    <t xml:space="preserve">MC-MATRIZ-TEMPO-TELA-PILOTO-v1_0-2026-0326.xlsx</t>
  </si>
  <si>
    <t xml:space="preserve">Matriz 500 casos original (lastro)</t>
  </si>
  <si>
    <t xml:space="preserve">2026-03-26</t>
  </si>
  <si>
    <t xml:space="preserve">MC-ESTIMATIVA-Tempo-Tela-500</t>
  </si>
  <si>
    <t xml:space="preserve">MC-ESTIMATIVA-TEMPO-TELA-500-CASOS-v1_0-2026-0328.xlsx</t>
  </si>
  <si>
    <t xml:space="preserve">Projeção 500 casos com bot (lastro)</t>
  </si>
  <si>
    <t xml:space="preserve">2026-03-28</t>
  </si>
  <si>
    <t xml:space="preserve">MC-AB-TEST-TripleoPreco-ADR007</t>
  </si>
  <si>
    <t xml:space="preserve">MC-AB-TEST-TRIPLO-PRECO-ADR007-v1_0-2026-0329.xlsx</t>
  </si>
  <si>
    <t xml:space="preserve">Teste A/B R$297/397/497 — SUPERADO</t>
  </si>
  <si>
    <t xml:space="preserve">2026-03-29</t>
  </si>
  <si>
    <t xml:space="preserve">Alessandro (SUPERADO por Master)</t>
  </si>
  <si>
    <t xml:space="preserve">MC-RECONCILIACAO-COGS</t>
  </si>
  <si>
    <t xml:space="preserve">MC-RECONCILIACAO_MASTER_-COGS-ADR007-v1_0-2026-0329.xlsx</t>
  </si>
  <si>
    <t xml:space="preserve">Reconciliação 7 fontes — SUPERADO</t>
  </si>
  <si>
    <t xml:space="preserve">Fiduciário Digital</t>
  </si>
  <si>
    <t xml:space="preserve">FIDUCIÁRIO_DIGITAL_DE_DOSSIÊS_PREVIDENCIÁRIOS_PARA_HIPERVULNERÁVEIS.docx</t>
  </si>
  <si>
    <t xml:space="preserve">Posicionamento institucional</t>
  </si>
  <si>
    <t xml:space="preserve">BEPS-012026</t>
  </si>
  <si>
    <t xml:space="preserve">beps012026_final.xls</t>
  </si>
  <si>
    <t xml:space="preserve">Estatísticas INSS janeiro 2026</t>
  </si>
  <si>
    <t xml:space="preserve">2026-01</t>
  </si>
  <si>
    <t xml:space="preserve">DataPrev/INSS</t>
  </si>
  <si>
    <t xml:space="preserve">Pesquisas compiladas</t>
  </si>
  <si>
    <t xml:space="preserve">0__compilado__Pesquisas_Dores_Demandas_e_Personas.md</t>
  </si>
  <si>
    <t xml:space="preserve">WTP + personas + ecossistema</t>
  </si>
  <si>
    <t xml:space="preserve">Perplexity + Gemini + compilação Alessandro</t>
  </si>
  <si>
    <t xml:space="preserve">2. ÂNCORAS NUMÉRICAS — MASTER CONTEXT §4</t>
  </si>
  <si>
    <t xml:space="preserve">Âncora</t>
  </si>
  <si>
    <t xml:space="preserve">Fonte primária</t>
  </si>
  <si>
    <t xml:space="preserve">Usada em que aba</t>
  </si>
  <si>
    <t xml:space="preserve">Salário operador R$2.800</t>
  </si>
  <si>
    <t xml:space="preserve">R$ 2.800/mês</t>
  </si>
  <si>
    <t xml:space="preserve">Master §4 — base CLT piloto</t>
  </si>
  <si>
    <t xml:space="preserve">01, 02, 03</t>
  </si>
  <si>
    <t xml:space="preserve">CRÍTICA</t>
  </si>
  <si>
    <t xml:space="preserve">Encargos CLT 1,85×</t>
  </si>
  <si>
    <t xml:space="preserve">1,85×</t>
  </si>
  <si>
    <t xml:space="preserve">Master §4 — FGTS+INSS+férias+13º</t>
  </si>
  <si>
    <t xml:space="preserve">Custo-hora R$36,79/h</t>
  </si>
  <si>
    <t xml:space="preserve">R$ 36,79/h</t>
  </si>
  <si>
    <t xml:space="preserve">Master §4 — oficial (cálculo (2800×1.85)/140.8)</t>
  </si>
  <si>
    <t xml:space="preserve">01, 03, 04, 09</t>
  </si>
  <si>
    <t xml:space="preserve">Tempo-tela 15h/caso</t>
  </si>
  <si>
    <t xml:space="preserve">15 horas</t>
  </si>
  <si>
    <t xml:space="preserve">Master §4 — planejamento oficial</t>
  </si>
  <si>
    <t xml:space="preserve">COGS-garage R$529</t>
  </si>
  <si>
    <t xml:space="preserve">R$ 529/caso</t>
  </si>
  <si>
    <t xml:space="preserve">Master §4 — operador+sup+infra+tributos</t>
  </si>
  <si>
    <t xml:space="preserve">01, 03, 07, 08, 09</t>
  </si>
  <si>
    <t xml:space="preserve">Preço Φ₁ R$1.500 flat</t>
  </si>
  <si>
    <t xml:space="preserve">R$ 1.500</t>
  </si>
  <si>
    <t xml:space="preserve">Master §4 e §5 — 3× PIX nacional</t>
  </si>
  <si>
    <t xml:space="preserve">01, 05, 06, 07, 08, 09</t>
  </si>
  <si>
    <t xml:space="preserve">Break-even 22 casos/mês</t>
  </si>
  <si>
    <t xml:space="preserve">22 casos</t>
  </si>
  <si>
    <t xml:space="preserve">Master §4 — garagem oficial</t>
  </si>
  <si>
    <t xml:space="preserve">01, 07, 08</t>
  </si>
  <si>
    <t xml:space="preserve">Margem 74-84%</t>
  </si>
  <si>
    <t xml:space="preserve">74-84%</t>
  </si>
  <si>
    <t xml:space="preserve">Master §4 — mix Rural/BPC/Urbano</t>
  </si>
  <si>
    <t xml:space="preserve">01, 03, 08</t>
  </si>
  <si>
    <t xml:space="preserve">ALTA</t>
  </si>
  <si>
    <t xml:space="preserve">Piloto N=150 / 6 ops / 90d</t>
  </si>
  <si>
    <t xml:space="preserve">150/6/90</t>
  </si>
  <si>
    <t xml:space="preserve">Master §4 — garagem (NÃO 500/18)</t>
  </si>
  <si>
    <t xml:space="preserve">02, 07, 08</t>
  </si>
  <si>
    <t xml:space="preserve">Âncora dor R$12.000</t>
  </si>
  <si>
    <t xml:space="preserve">R$ 12.000</t>
  </si>
  <si>
    <t xml:space="preserve">Master §4 — dor monetária real</t>
  </si>
  <si>
    <t xml:space="preserve">05, 06</t>
  </si>
  <si>
    <t xml:space="preserve">Desconto MC 87,5%</t>
  </si>
  <si>
    <t xml:space="preserve">87,5%</t>
  </si>
  <si>
    <t xml:space="preserve">Master §4 — vs dor convencional</t>
  </si>
  <si>
    <t xml:space="preserve">05</t>
  </si>
  <si>
    <t xml:space="preserve">Multiplicador barateamento 7×-23×</t>
  </si>
  <si>
    <t xml:space="preserve">7× a 23×</t>
  </si>
  <si>
    <t xml:space="preserve">Master §4 — vs escritório tradicional</t>
  </si>
  <si>
    <t xml:space="preserve">Score deferimento &gt;90%</t>
  </si>
  <si>
    <t xml:space="preserve">&gt;90%</t>
  </si>
  <si>
    <t xml:space="preserve">Master §10 — curadoria + dossiê selado</t>
  </si>
  <si>
    <t xml:space="preserve">01, 08</t>
  </si>
  <si>
    <t xml:space="preserve">Corredor R$1.200-R$2.500</t>
  </si>
  <si>
    <t xml:space="preserve">Piso/Teto</t>
  </si>
  <si>
    <t xml:space="preserve">Master §5 — defensável</t>
  </si>
  <si>
    <t xml:space="preserve">06, 07, 09</t>
  </si>
  <si>
    <t xml:space="preserve">Benefícios indeferidos/ano 800k</t>
  </si>
  <si>
    <t xml:space="preserve">800.000/ano</t>
  </si>
  <si>
    <t xml:space="preserve">01</t>
  </si>
  <si>
    <t xml:space="preserve">Taxa reversão judicial 70%</t>
  </si>
  <si>
    <t xml:space="preserve">70%</t>
  </si>
  <si>
    <t xml:space="preserve">Master §10 — prova indeferimento industrial</t>
  </si>
  <si>
    <t xml:space="preserve">01, 10</t>
  </si>
  <si>
    <t xml:space="preserve">Multiplicador literacia 0 = 2,1×</t>
  </si>
  <si>
    <t xml:space="preserve">2,1×</t>
  </si>
  <si>
    <t xml:space="preserve">01, 04</t>
  </si>
  <si>
    <t xml:space="preserve">Overhead Meu INSS pico 93%</t>
  </si>
  <si>
    <t xml:space="preserve">+93%</t>
  </si>
  <si>
    <t xml:space="preserve">Caso Ronivaldo (N=1) + Master §10</t>
  </si>
  <si>
    <t xml:space="preserve">Indisponibilidade DataPrev 1466h</t>
  </si>
  <si>
    <t xml:space="preserve">1.466 horas</t>
  </si>
  <si>
    <t xml:space="preserve">SM 2026 R$1.621</t>
  </si>
  <si>
    <t xml:space="preserve">R$ 1.621</t>
  </si>
  <si>
    <t xml:space="preserve">Decreto federal</t>
  </si>
  <si>
    <t xml:space="preserve">01, 05</t>
  </si>
  <si>
    <t xml:space="preserve">3. PRÓXIMOS PASSOS — MESA 7 CADEIRAS (Master §12)</t>
  </si>
  <si>
    <t xml:space="preserve">1. Hash esta planilha</t>
  </si>
  <si>
    <t xml:space="preserve">SHA-256 + RFC 3161 ICP-Brasil — versionamento imutável</t>
  </si>
  <si>
    <t xml:space="preserve">2. Revisão 7 cadeiras</t>
  </si>
  <si>
    <t xml:space="preserve">Jurídico-reg, Econômico, Tec-Op, Semiótico, Psicológico, Ético, Estratégico</t>
  </si>
  <si>
    <t xml:space="preserve">3. Validar com Dra. Juliana Melo</t>
  </si>
  <si>
    <t xml:space="preserve">Consulta técnica parecer 60-90min (ADR-011 Camada 1)</t>
  </si>
  <si>
    <t xml:space="preserve">4. Ajustar OPEX piloto real</t>
  </si>
  <si>
    <t xml:space="preserve">Medição efetiva infraestrutura + aluguel + contabilidade Maio/2026</t>
  </si>
  <si>
    <t xml:space="preserve">5. Stress test trimestral</t>
  </si>
  <si>
    <t xml:space="preserve">Atualizar aba 09 com dados reais a cada trimestre</t>
  </si>
  <si>
    <t xml:space="preserve">6. Red Team vivo</t>
  </si>
  <si>
    <t xml:space="preserve">Adicionar novos ataques conforme surgem (OAB-GO, imprensa, concorrência)</t>
  </si>
  <si>
    <t xml:space="preserve">7. Revisão Master Context</t>
  </si>
  <si>
    <t xml:space="preserve">Next review quando houver mudança em qualquer dos 7 eixos</t>
  </si>
  <si>
    <t xml:space="preserve">8. Gate decisão mês 3 piloto</t>
  </si>
  <si>
    <t xml:space="preserve">Se &lt;30 casos/mês, pausar expansão e revisar UX/canal/preço</t>
  </si>
  <si>
    <t xml:space="preserve">ASSINATURA E VERSIONAMENTO</t>
  </si>
  <si>
    <t xml:space="preserve">Autor (técnico)</t>
  </si>
  <si>
    <t xml:space="preserve">Claude — co-fundador intelectual (Opus 4.7)</t>
  </si>
  <si>
    <t xml:space="preserve">Decisão soberana</t>
  </si>
  <si>
    <t xml:space="preserve">Data de construção</t>
  </si>
  <si>
    <t xml:space="preserve">Versão</t>
  </si>
  <si>
    <t xml:space="preserve">v1.1 — PROVISIONAL — Master Context sujeito a revisão Opus 4.7 v3.0 (ajustes de 2026-04-19 noite)</t>
  </si>
  <si>
    <t xml:space="preserve">Escopo</t>
  </si>
  <si>
    <t xml:space="preserve">Custos + Precificação + Persona + Red Team + Expansão Internacional</t>
  </si>
  <si>
    <t xml:space="preserve">Supera</t>
  </si>
  <si>
    <t xml:space="preserve">AB-Test ADR-007 (29/03) + Reconciliação COGS (29/03) na parte de preço/COGS</t>
  </si>
  <si>
    <t xml:space="preserve">Preservado como lastro</t>
  </si>
  <si>
    <t xml:space="preserve">Matriz Tempo-Tela Piloto v1.0 + Estimativa 500 Casos v1.0</t>
  </si>
  <si>
    <t xml:space="preserve">Próxima revisão</t>
  </si>
  <si>
    <t xml:space="preserve">Quando Master Context tiver versão nova ou mudança em qualquer dos 7 eixos</t>
  </si>
  <si>
    <t xml:space="preserve">Classificação</t>
  </si>
  <si>
    <t xml:space="preserve">Hash (a gerar)</t>
  </si>
  <si>
    <t xml:space="preserve">SHA-256 + RFC 3161 ICP-Brasil após approval founder</t>
  </si>
  <si>
    <t xml:space="preserve">CHANGELOG v1.0 → v1.1</t>
  </si>
  <si>
    <t xml:space="preserve">2026-04-19 noite — Ajustes cirúrgicos Claude + Alessandro</t>
  </si>
  <si>
    <t xml:space="preserve">Decisão Founder</t>
  </si>
  <si>
    <t xml:space="preserve">Master Context reclassificado de ATIVO → PROVISIONAL. Sujeito a revisão Opus 4.7 na produção do v3.0 definitivo.</t>
  </si>
  <si>
    <t xml:space="preserve">Ajuste 1</t>
  </si>
  <si>
    <t xml:space="preserve">Capa C10: "ATIVO — DNA-mestre" → "PROVISIONAL — sujeito a revisão Opus 4.7"</t>
  </si>
  <si>
    <t xml:space="preserve">Ajuste 2</t>
  </si>
  <si>
    <t xml:space="preserve">Capa C11: Hash qualificado — não gerar enquanto v1.1 provisional (ICP-Brasil só após selamento v3.0)</t>
  </si>
  <si>
    <t xml:space="preserve">Ajuste 3</t>
  </si>
  <si>
    <t xml:space="preserve">Capa C22: Margem 74-84% qualificada como "alvo pós-escala" vs "50-64% baseline Crisálida"</t>
  </si>
  <si>
    <t xml:space="preserve">Ajuste 4</t>
  </si>
  <si>
    <t xml:space="preserve">Capa B62/C62: Nota explicitando guardrails §14 como diretrizes vigentes sujeitas a revisão</t>
  </si>
  <si>
    <t xml:space="preserve">Ajuste 5</t>
  </si>
  <si>
    <t xml:space="preserve">Aba 01 F26/F27: Margens P17/P18 qualificadas com alvo vs baseline (consistência com aba 03)</t>
  </si>
  <si>
    <t xml:space="preserve">Preservado</t>
  </si>
  <si>
    <t xml:space="preserve">Todos os parâmetros numéricos, fórmulas, estrutura de abas, cenários, Red Team — INALTERADOS</t>
  </si>
  <si>
    <t xml:space="preserve">Próximo passo</t>
  </si>
  <si>
    <t xml:space="preserve">Opus 4.7 fase v3.0 pode propor ajustes DENTRO ou FORA do corredor se blindagem exigir</t>
  </si>
  <si>
    <t xml:space="preserve">Selamento v2.0</t>
  </si>
  <si>
    <t xml:space="preserve">Após revisão Opus 4.7 + Dra. Juliana Melo + Mesa 7 Cadeiras → hash SHA-256 + RFC 3161 ICP-Brasil</t>
  </si>
  <si>
    <t xml:space="preserve">AUDITORIA NUMÉRICA PENDENTE — MANDATO v3.0 OPUS 4.7</t>
  </si>
  <si>
    <t xml:space="preserve">Natureza: BLOCO DE DECISÃO ABERTO. Não-selado. Matéria-prima adversarial interna para o Opus 4.7 na fase v3.0. NÃO reconciliar sem decisão do Founder + Red Team.</t>
  </si>
  <si>
    <t xml:space="preserve">PENDENTE v3.0 | Descoberto 2026-04-19 noite | Severidade: 1 CRÍTICO + 2 ALTO | Impacto: pitch institucional e break-even Piloto</t>
  </si>
  <si>
    <t xml:space="preserve">A HIPERPLANILHA v1.1 apresenta três inconsistências aritméticas internas descobertas em auditoria cross-sheet. Cada aba isolada é consistente, mas premissas divergem ENTRE abas. Os achados não impedem a operação Crisálida rodar (caixa positivo garantido), mas comprometem a narrativa institucional "80% margem" e tornam o BE do Piloto matematicamente apertado. A decisão de reconciliação é preservada para o Opus 4.7 na fase v3.0 para não antecipar tese.</t>
  </si>
  <si>
    <t xml:space="preserve">Achado</t>
  </si>
  <si>
    <t xml:space="preserve">Valor Master (v1.1)</t>
  </si>
  <si>
    <t xml:space="preserve">Valor Calculado (aba-fonte)</t>
  </si>
  <si>
    <t xml:space="preserve">Delta</t>
  </si>
  <si>
    <t xml:space="preserve">Aba-fonte</t>
  </si>
  <si>
    <t xml:space="preserve">A1</t>
  </si>
  <si>
    <t xml:space="preserve">COGS-garage Master R$529 vs COGS analítico calculado por espécie</t>
  </si>
  <si>
    <t xml:space="preserve">R$ 529 / caso</t>
  </si>
  <si>
    <t xml:space="preserve">R$ 675 / caso (média 5 espécies)</t>
  </si>
  <si>
    <t xml:space="preserve">+28% (+R$ 146)</t>
  </si>
  <si>
    <t xml:space="preserve">Aba 03 linhas 18-22</t>
  </si>
  <si>
    <t xml:space="preserve">A2</t>
  </si>
  <si>
    <t xml:space="preserve">Break-even Garagem Master 22 casos/mês vs calculado 17 casos/mês</t>
  </si>
  <si>
    <t xml:space="preserve">22 casos/mês</t>
  </si>
  <si>
    <t xml:space="preserve">17 casos/mês (OPEX R$11k ÷ margem R$971)</t>
  </si>
  <si>
    <t xml:space="preserve">−23% (−5 casos)</t>
  </si>
  <si>
    <t xml:space="preserve">Aba 07 C18</t>
  </si>
  <si>
    <t xml:space="preserve">A3</t>
  </si>
  <si>
    <t xml:space="preserve">OPEX Piloto aba 07 R$39k vs OPEX Piloto aba 02 R$73.668 calculado</t>
  </si>
  <si>
    <t xml:space="preserve">R$ 39.000 / mês</t>
  </si>
  <si>
    <t xml:space="preserve">R$ 73.668 / mês (folha R$64.810 + infra R$6.846 + CAPEX R$2.012)</t>
  </si>
  <si>
    <t xml:space="preserve">+89% (+R$34.668)</t>
  </si>
  <si>
    <t xml:space="preserve">Aba 02 G45 vs Aba 07 D13</t>
  </si>
  <si>
    <t xml:space="preserve">IMPLICAÇÕES OPERACIONAIS POR ACHADO</t>
  </si>
  <si>
    <t xml:space="preserve">Na Crisálida (sem bot Playwright, sem mix urbano &gt;30%), margem real por caso é ~55%, não 74-84%. A margem 74-84% é ALVO pós-escala, não baseline. Pitch institucional "80% margem" não se sustenta em auditoria hoje. Caixa ainda positivo (R$1.500 − R$675 = R$825/caso).</t>
  </si>
  <si>
    <t xml:space="preserve">Garagem atinge BE aos 17 casos (não 22). Diferença pode ser buffer intencional de segurança, mas não está documentado. Se é buffer, declarar; se é erro, corrigir para 17.</t>
  </si>
  <si>
    <t xml:space="preserve">Piloto com OPEX real R$73.668 + margem R$971/caso = BE 76 casos/mês. Capacidade teórica do Piloto = 75 casos/mês. BE ≈ Capacidade. Piloto NÃO tem folga matemática — opera no limite. Achado CRÍTICO: invalida o "BE 22 casos" do Master Context aplicado ao Piloto. Pode exigir redesenho (menos operadores, ou aceitar Piloto que só fecha no mês 4-6 quando bot entra).</t>
  </si>
  <si>
    <t xml:space="preserve">OPÇÕES DE RESOLUÇÃO (para decisão Opus 4.7 + Founder)</t>
  </si>
  <si>
    <t xml:space="preserve">Opção X (Ajustar Master para o Calculado)</t>
  </si>
  <si>
    <t xml:space="preserve">Opção Y (Ajustar Cálculo para o Master — revisar premissas)</t>
  </si>
  <si>
    <t xml:space="preserve">Opção Z (Manter ambos, declarar "alvo" vs "baseline")</t>
  </si>
  <si>
    <t xml:space="preserve">Declarar COGS oficial R$675 (média analítica). Recalcular margem para 55% Crisálida. Preço R$1.500 continua; pitch muda.</t>
  </si>
  <si>
    <t xml:space="preserve">Reduzir tempo-tela oficial de 15h para 12h (assumindo bot desde dia 1). Custo-hora cai via automação. Mas Crisálida não tem bot ainda — premissa violada.</t>
  </si>
  <si>
    <t xml:space="preserve">Aba Capa declara "COGS R$529 alvo pós-escala | R$675 baseline Crisálida". Operar com transparência interna. ← Ajuste já parcial em v1.1.</t>
  </si>
  <si>
    <t xml:space="preserve">Ajustar P23 de 22 para 17 casos/mês (BE garagem real).</t>
  </si>
  <si>
    <t xml:space="preserve">Aumentar OPEX garagem de R$11k para R$16k (explicar de onde vem o custo extra).</t>
  </si>
  <si>
    <t xml:space="preserve">Declarar "22 = meta comercial com buffer de segurança 30% sobre BE aritmético 17".</t>
  </si>
  <si>
    <t xml:space="preserve">A3 (CRÍTICO)</t>
  </si>
  <si>
    <t xml:space="preserve">Aceitar BE Piloto 76 casos/mês. Redesenhar metas: mês 1-2 queima caixa (normal), mês 3+ com bot chega em BE. Captação R$150k buffer.</t>
  </si>
  <si>
    <t xml:space="preserve">Reduzir equipe Piloto para 4 operadores + 1 sup (OPEX ~R$50k, BE 51 casos — ainda no limite mas folga 32%). Sacrifica capacidade 75→50.</t>
  </si>
  <si>
    <t xml:space="preserve">Manter estrutura 6+1 mas declarar Piloto como "ramp-up 90 dias, BE no mês 4 quando bot reduz 43% tempo-tela". Captação de caixa estruturada.</t>
  </si>
  <si>
    <t xml:space="preserve">MANDATO EXPLÍCITO AO OPUS 4.7 (fase v3.0)</t>
  </si>
  <si>
    <t xml:space="preserve">Passo</t>
  </si>
  <si>
    <t xml:space="preserve">Entregável esperado</t>
  </si>
  <si>
    <t xml:space="preserve">1. Diagnóstico</t>
  </si>
  <si>
    <t xml:space="preserve">Verificar independentemente cada achado. Confirmar ou contestar os números desta aba. Se contestar, apontar onde está o erro.</t>
  </si>
  <si>
    <t xml:space="preserve">2. Decisão de tese</t>
  </si>
  <si>
    <t xml:space="preserve">Para cada achado, recomendar entre X, Y, Z — ou propor opção W. Justificar com o teste Zilda-STF (Zilda paga com dignidade E ministro aprova auditando).</t>
  </si>
  <si>
    <t xml:space="preserve">3. Reconciliação</t>
  </si>
  <si>
    <t xml:space="preserve">Produzir uma versão v3.0 da HIPERPLANILHA com aritmética consistente entre TODAS as abas — cada número puxa da fonte canônica via fórmula, sem hardcode divergente.</t>
  </si>
  <si>
    <t xml:space="preserve">4. Impacto no preço Φ₁</t>
  </si>
  <si>
    <t xml:space="preserve">Se o COGS real é R$675 baseline + R$529 alvo, Preço R$1.500 continua? Opus 4.7 deve testar: piso real (breakeven + 15%) = R$ ?. Sweet spot (margem alvo 70%) = R$ ?. Teto narrativo R$2.500 permanece?</t>
  </si>
  <si>
    <t xml:space="preserve">5. Blindagem Red Team</t>
  </si>
  <si>
    <t xml:space="preserve">Atualizar aba 10 (Red Team) com novo ataque: "Auditor externo detecta divergência 28% entre COGS Master e calculado". Fornecer refutação blindada.</t>
  </si>
  <si>
    <t xml:space="preserve">6. Selamento</t>
  </si>
  <si>
    <t xml:space="preserve">Apenas após 1-5 concluídos: gerar hash SHA-256 + RFC 3161 ICP-Brasil. Apenas então Master Context deixa de ser PROVISIONAL.</t>
  </si>
  <si>
    <t xml:space="preserve">DECISÃO FOUNDER (2026-04-19 noite)</t>
  </si>
  <si>
    <t xml:space="preserve">Alessandro (Founder/CEO) autorizou Caminho C: ajustes narrativos aplicados em v1.1, reconciliação numérica preservada para Opus 4.7 v3.0. Operação Crisálida inicia esta semana com Preço Φ₁ R$1.500 e margem calculada 55% caso-a-caso (caixa positivo confirmado: R$825/caso). Esta aba 13 é o mandato operacional para a próxima fase.</t>
  </si>
</sst>
</file>

<file path=xl/styles.xml><?xml version="1.0" encoding="utf-8"?>
<styleSheet xmlns="http://schemas.openxmlformats.org/spreadsheetml/2006/main">
  <numFmts count="11">
    <numFmt numFmtId="164" formatCode="General"/>
    <numFmt numFmtId="165" formatCode="&quot;R$ &quot;#,##0;&quot;(R$ &quot;#,##0\);\-"/>
    <numFmt numFmtId="166" formatCode="#,##0.00;\(#,##0.00\);\-"/>
    <numFmt numFmtId="167" formatCode="#,##0;\(#,##0\);\-"/>
    <numFmt numFmtId="168" formatCode="0.0%;\(0.0%\);\-"/>
    <numFmt numFmtId="169" formatCode="0.0\×"/>
    <numFmt numFmtId="170" formatCode="#,##0.0"/>
    <numFmt numFmtId="171" formatCode="0%;\(0%\);\-"/>
    <numFmt numFmtId="172" formatCode="#,##0.0&quot; h&quot;"/>
    <numFmt numFmtId="173" formatCode="&quot;R$ &quot;#,##0.00;&quot;(R$ &quot;#,##0.00\);\-"/>
    <numFmt numFmtId="174" formatCode="General"/>
  </numFmts>
  <fonts count="48">
    <font>
      <sz val="11"/>
      <color theme="1"/>
      <name val="Calibri"/>
      <family val="2"/>
      <charset val="1"/>
    </font>
    <font>
      <sz val="10"/>
      <name val="Arial"/>
      <family val="0"/>
    </font>
    <font>
      <sz val="10"/>
      <name val="Arial"/>
      <family val="0"/>
    </font>
    <font>
      <sz val="10"/>
      <name val="Arial"/>
      <family val="0"/>
    </font>
    <font>
      <b val="true"/>
      <sz val="18"/>
      <color rgb="FF1F4E79"/>
      <name val="Arial"/>
      <family val="0"/>
      <charset val="1"/>
    </font>
    <font>
      <i val="true"/>
      <sz val="11"/>
      <color rgb="FF595959"/>
      <name val="Arial"/>
      <family val="0"/>
      <charset val="1"/>
    </font>
    <font>
      <b val="true"/>
      <sz val="10"/>
      <name val="Arial"/>
      <family val="0"/>
      <charset val="1"/>
    </font>
    <font>
      <sz val="10"/>
      <name val="Arial"/>
      <family val="0"/>
      <charset val="1"/>
    </font>
    <font>
      <b val="true"/>
      <sz val="11"/>
      <color rgb="FFFFFFFF"/>
      <name val="Arial"/>
      <family val="0"/>
      <charset val="1"/>
    </font>
    <font>
      <b val="true"/>
      <sz val="10"/>
      <color rgb="FF1F4E79"/>
      <name val="Arial"/>
      <family val="0"/>
      <charset val="1"/>
    </font>
    <font>
      <b val="true"/>
      <sz val="10"/>
      <color rgb="FFB45F06"/>
      <name val="Arial"/>
      <family val="0"/>
      <charset val="1"/>
    </font>
    <font>
      <i val="true"/>
      <sz val="10"/>
      <color rgb="FFB45F06"/>
      <name val="Arial"/>
      <family val="0"/>
      <charset val="1"/>
    </font>
    <font>
      <b val="true"/>
      <sz val="10"/>
      <color rgb="FF0000FF"/>
      <name val="Arial"/>
      <family val="0"/>
      <charset val="1"/>
    </font>
    <font>
      <b val="true"/>
      <sz val="10"/>
      <color rgb="FF000000"/>
      <name val="Arial"/>
      <family val="0"/>
      <charset val="1"/>
    </font>
    <font>
      <sz val="10"/>
      <color rgb="FF008000"/>
      <name val="Arial"/>
      <family val="0"/>
      <charset val="1"/>
    </font>
    <font>
      <b val="true"/>
      <sz val="10"/>
      <color rgb="FFC00000"/>
      <name val="Arial"/>
      <family val="0"/>
      <charset val="1"/>
    </font>
    <font>
      <b val="true"/>
      <sz val="16"/>
      <color rgb="FF1F4E79"/>
      <name val="Arial"/>
      <family val="0"/>
      <charset val="1"/>
    </font>
    <font>
      <i val="true"/>
      <sz val="10"/>
      <color rgb="FF595959"/>
      <name val="Arial"/>
      <family val="0"/>
      <charset val="1"/>
    </font>
    <font>
      <sz val="10"/>
      <color rgb="FF0000FF"/>
      <name val="Arial"/>
      <family val="0"/>
      <charset val="1"/>
    </font>
    <font>
      <sz val="9"/>
      <color rgb="FF808080"/>
      <name val="Arial"/>
      <family val="0"/>
      <charset val="1"/>
    </font>
    <font>
      <sz val="9"/>
      <color rgb="FF595959"/>
      <name val="Arial"/>
      <family val="0"/>
      <charset val="1"/>
    </font>
    <font>
      <b val="true"/>
      <sz val="9"/>
      <color rgb="FFFFFFFF"/>
      <name val="Arial"/>
      <family val="0"/>
      <charset val="1"/>
    </font>
    <font>
      <b val="true"/>
      <sz val="9"/>
      <name val="Arial"/>
      <family val="0"/>
      <charset val="1"/>
    </font>
    <font>
      <sz val="1"/>
      <color rgb="FFFFFFFF"/>
      <name val="Cambria"/>
      <family val="0"/>
      <charset val="1"/>
    </font>
    <font>
      <i val="true"/>
      <sz val="10"/>
      <name val="Arial"/>
      <family val="0"/>
      <charset val="1"/>
    </font>
    <font>
      <b val="true"/>
      <sz val="12"/>
      <color rgb="FFFFFFFF"/>
      <name val="Arial"/>
      <family val="0"/>
      <charset val="1"/>
    </font>
    <font>
      <i val="true"/>
      <sz val="9"/>
      <color rgb="FFFFFFFF"/>
      <name val="Arial"/>
      <family val="0"/>
      <charset val="1"/>
    </font>
    <font>
      <b val="true"/>
      <i val="true"/>
      <sz val="10"/>
      <name val="Arial"/>
      <family val="0"/>
      <charset val="1"/>
    </font>
    <font>
      <i val="true"/>
      <sz val="9"/>
      <color rgb="FF595959"/>
      <name val="Arial"/>
      <family val="0"/>
      <charset val="1"/>
    </font>
    <font>
      <sz val="10"/>
      <color rgb="FF000000"/>
      <name val="Arial"/>
      <family val="0"/>
      <charset val="1"/>
    </font>
    <font>
      <i val="true"/>
      <sz val="9"/>
      <name val="Arial"/>
      <family val="0"/>
      <charset val="1"/>
    </font>
    <font>
      <b val="true"/>
      <sz val="10"/>
      <color rgb="FF008000"/>
      <name val="Arial"/>
      <family val="0"/>
      <charset val="1"/>
    </font>
    <font>
      <b val="true"/>
      <sz val="10"/>
      <color rgb="FF9C0006"/>
      <name val="Arial"/>
      <family val="0"/>
      <charset val="1"/>
    </font>
    <font>
      <b val="true"/>
      <sz val="10"/>
      <color rgb="FF006100"/>
      <name val="Arial"/>
      <family val="0"/>
      <charset val="1"/>
    </font>
    <font>
      <b val="true"/>
      <sz val="9"/>
      <color rgb="FF9C0006"/>
      <name val="Arial"/>
      <family val="0"/>
      <charset val="1"/>
    </font>
    <font>
      <b val="true"/>
      <sz val="10"/>
      <color rgb="FF595959"/>
      <name val="Arial"/>
      <family val="0"/>
      <charset val="1"/>
    </font>
    <font>
      <b val="true"/>
      <i val="true"/>
      <sz val="9"/>
      <color rgb="FF595959"/>
      <name val="Arial"/>
      <family val="0"/>
      <charset val="1"/>
    </font>
    <font>
      <b val="true"/>
      <sz val="10"/>
      <color rgb="FFFFFFFF"/>
      <name val="Arial"/>
      <family val="0"/>
      <charset val="1"/>
    </font>
    <font>
      <b val="true"/>
      <sz val="16"/>
      <color rgb="FFC00000"/>
      <name val="Arial"/>
      <family val="0"/>
      <charset val="1"/>
    </font>
    <font>
      <sz val="9"/>
      <name val="Arial"/>
      <family val="0"/>
      <charset val="1"/>
    </font>
    <font>
      <i val="true"/>
      <sz val="10"/>
      <color rgb="FF808080"/>
      <name val="Arial"/>
      <family val="0"/>
      <charset val="1"/>
    </font>
    <font>
      <b val="true"/>
      <sz val="10"/>
      <color rgb="FF0070C0"/>
      <name val="Arial"/>
      <family val="0"/>
      <charset val="1"/>
    </font>
    <font>
      <b val="true"/>
      <sz val="11"/>
      <color rgb="FFB45F06"/>
      <name val="Arial"/>
      <family val="0"/>
      <charset val="1"/>
    </font>
    <font>
      <b val="true"/>
      <sz val="14"/>
      <color rgb="FFFFFFFF"/>
      <name val="Arial"/>
      <family val="0"/>
      <charset val="1"/>
    </font>
    <font>
      <i val="true"/>
      <sz val="10"/>
      <color rgb="FF434343"/>
      <name val="Arial"/>
      <family val="0"/>
      <charset val="1"/>
    </font>
    <font>
      <b val="true"/>
      <sz val="12"/>
      <name val="Arial"/>
      <family val="0"/>
      <charset val="1"/>
    </font>
    <font>
      <b val="true"/>
      <sz val="12"/>
      <color rgb="FFB45F06"/>
      <name val="Arial"/>
      <family val="0"/>
      <charset val="1"/>
    </font>
    <font>
      <b val="true"/>
      <sz val="11"/>
      <color rgb="FF434343"/>
      <name val="Arial"/>
      <family val="0"/>
      <charset val="1"/>
    </font>
  </fonts>
  <fills count="24">
    <fill>
      <patternFill patternType="none"/>
    </fill>
    <fill>
      <patternFill patternType="gray125"/>
    </fill>
    <fill>
      <patternFill patternType="solid">
        <fgColor rgb="FF1F4E79"/>
        <bgColor rgb="FF2F5496"/>
      </patternFill>
    </fill>
    <fill>
      <patternFill patternType="solid">
        <fgColor rgb="FFDEEBF7"/>
        <bgColor rgb="FFEDEDED"/>
      </patternFill>
    </fill>
    <fill>
      <patternFill patternType="solid">
        <fgColor rgb="FFFFFF00"/>
        <bgColor rgb="FFFFEB9C"/>
      </patternFill>
    </fill>
    <fill>
      <patternFill patternType="solid">
        <fgColor rgb="FFFFC7CE"/>
        <bgColor rgb="FFF4CCCC"/>
      </patternFill>
    </fill>
    <fill>
      <patternFill patternType="solid">
        <fgColor rgb="FFC6EFCE"/>
        <bgColor rgb="FFC6E0B4"/>
      </patternFill>
    </fill>
    <fill>
      <patternFill patternType="solid">
        <fgColor rgb="FF2F5496"/>
        <bgColor rgb="FF1F4E79"/>
      </patternFill>
    </fill>
    <fill>
      <patternFill patternType="solid">
        <fgColor rgb="FFFF6B6B"/>
        <bgColor rgb="FFFF6600"/>
      </patternFill>
    </fill>
    <fill>
      <patternFill patternType="solid">
        <fgColor rgb="FFFFEB9C"/>
        <bgColor rgb="FFFFF2CC"/>
      </patternFill>
    </fill>
    <fill>
      <patternFill patternType="solid">
        <fgColor rgb="FFF2F2F2"/>
        <bgColor rgb="FFEDEDED"/>
      </patternFill>
    </fill>
    <fill>
      <patternFill patternType="solid">
        <fgColor rgb="FFFFF2CC"/>
        <bgColor rgb="FFFCE5CD"/>
      </patternFill>
    </fill>
    <fill>
      <patternFill patternType="solid">
        <fgColor rgb="FFFCE4D6"/>
        <bgColor rgb="FFFCE5CD"/>
      </patternFill>
    </fill>
    <fill>
      <patternFill patternType="solid">
        <fgColor rgb="FFE2EFDA"/>
        <bgColor rgb="FFEDEDED"/>
      </patternFill>
    </fill>
    <fill>
      <patternFill patternType="solid">
        <fgColor rgb="FFEDEDED"/>
        <bgColor rgb="FFF2F2F2"/>
      </patternFill>
    </fill>
    <fill>
      <patternFill patternType="solid">
        <fgColor rgb="FFBDD7EE"/>
        <bgColor rgb="FFC6E0B4"/>
      </patternFill>
    </fill>
    <fill>
      <patternFill patternType="solid">
        <fgColor rgb="FFC6E0B4"/>
        <bgColor rgb="FFC6EFCE"/>
      </patternFill>
    </fill>
    <fill>
      <patternFill patternType="solid">
        <fgColor rgb="FFA9D08E"/>
        <bgColor rgb="FFC6E0B4"/>
      </patternFill>
    </fill>
    <fill>
      <patternFill patternType="solid">
        <fgColor rgb="FFC00000"/>
        <bgColor rgb="FF9C0006"/>
      </patternFill>
    </fill>
    <fill>
      <patternFill patternType="solid">
        <fgColor rgb="FF385723"/>
        <bgColor rgb="FF434343"/>
      </patternFill>
    </fill>
    <fill>
      <patternFill patternType="solid">
        <fgColor rgb="FFB45F06"/>
        <bgColor rgb="FF808000"/>
      </patternFill>
    </fill>
    <fill>
      <patternFill patternType="solid">
        <fgColor rgb="FF434343"/>
        <bgColor rgb="FF385723"/>
      </patternFill>
    </fill>
    <fill>
      <patternFill patternType="solid">
        <fgColor rgb="FFFCE5CD"/>
        <bgColor rgb="FFFCE4D6"/>
      </patternFill>
    </fill>
    <fill>
      <patternFill patternType="solid">
        <fgColor rgb="FFF4CCCC"/>
        <bgColor rgb="FFFFC7CE"/>
      </patternFill>
    </fill>
  </fills>
  <borders count="4">
    <border diagonalUp="false" diagonalDown="false">
      <left/>
      <right/>
      <top/>
      <bottom/>
      <diagonal/>
    </border>
    <border diagonalUp="false" diagonalDown="false">
      <left style="thin">
        <color rgb="FF808080"/>
      </left>
      <right style="thin">
        <color rgb="FF808080"/>
      </right>
      <top style="thin">
        <color rgb="FF808080"/>
      </top>
      <bottom style="thin">
        <color rgb="FF808080"/>
      </bottom>
      <diagonal/>
    </border>
    <border diagonalUp="false" diagonalDown="false">
      <left style="medium"/>
      <right style="medium"/>
      <top style="medium"/>
      <bottom style="medium"/>
      <diagonal/>
    </border>
    <border diagonalUp="false" diagonalDown="false">
      <left style="thin">
        <color rgb="FF999999"/>
      </left>
      <right style="thin">
        <color rgb="FF999999"/>
      </right>
      <top style="thin">
        <color rgb="FF999999"/>
      </top>
      <bottom style="thin">
        <color rgb="FF99999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77">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true" applyAlignment="tru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64" fontId="8" fillId="2" borderId="1" xfId="0" applyFont="true" applyBorder="true" applyAlignment="true" applyProtection="false">
      <alignment horizontal="center" vertical="center" textRotation="0" wrapText="true" indent="0" shrinkToFit="false"/>
      <protection locked="true" hidden="false"/>
    </xf>
    <xf numFmtId="164" fontId="6" fillId="3" borderId="1" xfId="0" applyFont="true" applyBorder="true" applyAlignment="true" applyProtection="false">
      <alignment horizontal="left" vertical="top" textRotation="0" wrapText="true" indent="0" shrinkToFit="false"/>
      <protection locked="true" hidden="false"/>
    </xf>
    <xf numFmtId="164" fontId="7" fillId="0" borderId="1" xfId="0" applyFont="true" applyBorder="true" applyAlignment="true" applyProtection="false">
      <alignment horizontal="left" vertical="top" textRotation="0" wrapText="true" indent="0" shrinkToFit="false"/>
      <protection locked="true" hidden="false"/>
    </xf>
    <xf numFmtId="164" fontId="9" fillId="0" borderId="1" xfId="0" applyFont="true" applyBorder="true" applyAlignment="true" applyProtection="false">
      <alignment horizontal="left" vertical="center" textRotation="0" wrapText="true" indent="0" shrinkToFit="false"/>
      <protection locked="true" hidden="false"/>
    </xf>
    <xf numFmtId="164" fontId="7" fillId="0" borderId="1" xfId="0" applyFont="true" applyBorder="true" applyAlignment="true" applyProtection="false">
      <alignment horizontal="left" vertical="center" textRotation="0" wrapText="tru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12" fillId="4" borderId="1" xfId="0" applyFont="true" applyBorder="true" applyAlignment="tru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general" vertical="bottom" textRotation="0" wrapText="false" indent="0" shrinkToFit="false"/>
      <protection locked="true" hidden="false"/>
    </xf>
    <xf numFmtId="164" fontId="13" fillId="0" borderId="1" xfId="0" applyFont="true" applyBorder="true" applyAlignment="true" applyProtection="false">
      <alignment horizontal="general" vertical="bottom" textRotation="0" wrapText="false" indent="0" shrinkToFit="false"/>
      <protection locked="true" hidden="false"/>
    </xf>
    <xf numFmtId="164" fontId="14" fillId="0" borderId="1" xfId="0" applyFont="true" applyBorder="true" applyAlignment="true" applyProtection="false">
      <alignment horizontal="general" vertical="bottom" textRotation="0" wrapText="false" indent="0" shrinkToFit="false"/>
      <protection locked="true" hidden="false"/>
    </xf>
    <xf numFmtId="164" fontId="6" fillId="5" borderId="1" xfId="0" applyFont="true" applyBorder="true" applyAlignment="true" applyProtection="false">
      <alignment horizontal="general" vertical="bottom" textRotation="0" wrapText="false" indent="0" shrinkToFit="false"/>
      <protection locked="true" hidden="false"/>
    </xf>
    <xf numFmtId="164" fontId="6" fillId="6" borderId="1" xfId="0" applyFont="true" applyBorder="true" applyAlignment="true" applyProtection="false">
      <alignment horizontal="general" vertical="bottom" textRotation="0" wrapText="false" indent="0" shrinkToFit="false"/>
      <protection locked="true" hidden="false"/>
    </xf>
    <xf numFmtId="164" fontId="15" fillId="5" borderId="1" xfId="0" applyFont="true" applyBorder="true" applyAlignment="true" applyProtection="false">
      <alignment horizontal="center" vertical="center" textRotation="0" wrapText="true" indent="0" shrinkToFit="false"/>
      <protection locked="true" hidden="false"/>
    </xf>
    <xf numFmtId="164" fontId="15" fillId="0" borderId="1" xfId="0" applyFont="true" applyBorder="true" applyAlignment="true" applyProtection="false">
      <alignment horizontal="center" vertical="center" textRotation="0" wrapText="true" indent="0" shrinkToFit="false"/>
      <protection locked="true" hidden="false"/>
    </xf>
    <xf numFmtId="164" fontId="11" fillId="0" borderId="0" xfId="0" applyFont="true" applyBorder="false" applyAlignment="true" applyProtection="false">
      <alignment horizontal="general" vertical="bottom" textRotation="0" wrapText="false" indent="0" shrinkToFit="false"/>
      <protection locked="true" hidden="false"/>
    </xf>
    <xf numFmtId="164" fontId="16" fillId="0" borderId="0" xfId="0" applyFont="true" applyBorder="true" applyAlignment="true" applyProtection="false">
      <alignment horizontal="general" vertical="bottom" textRotation="0" wrapText="false" indent="0" shrinkToFit="false"/>
      <protection locked="true" hidden="false"/>
    </xf>
    <xf numFmtId="164" fontId="17" fillId="0" borderId="0" xfId="0" applyFont="true" applyBorder="true" applyAlignment="true" applyProtection="false">
      <alignment horizontal="general" vertical="bottom" textRotation="0" wrapText="false" indent="0" shrinkToFit="false"/>
      <protection locked="true" hidden="false"/>
    </xf>
    <xf numFmtId="164" fontId="8" fillId="7" borderId="1" xfId="0" applyFont="true" applyBorder="true" applyAlignment="true" applyProtection="false">
      <alignment horizontal="left" vertical="center" textRotation="0" wrapText="true" indent="0" shrinkToFit="false"/>
      <protection locked="true" hidden="false"/>
    </xf>
    <xf numFmtId="165" fontId="18" fillId="4" borderId="1" xfId="0" applyFont="true" applyBorder="true" applyAlignment="true" applyProtection="false">
      <alignment horizontal="right" vertical="center" textRotation="0" wrapText="true" indent="0" shrinkToFit="false"/>
      <protection locked="true" hidden="false"/>
    </xf>
    <xf numFmtId="164" fontId="17" fillId="0" borderId="1" xfId="0" applyFont="true" applyBorder="true" applyAlignment="true" applyProtection="false">
      <alignment horizontal="center" vertical="center" textRotation="0" wrapText="true" indent="0" shrinkToFit="false"/>
      <protection locked="true" hidden="false"/>
    </xf>
    <xf numFmtId="164" fontId="19" fillId="0" borderId="1" xfId="0" applyFont="true" applyBorder="true" applyAlignment="true" applyProtection="false">
      <alignment horizontal="center" vertical="center" textRotation="0" wrapText="true" indent="0" shrinkToFit="false"/>
      <protection locked="true" hidden="false"/>
    </xf>
    <xf numFmtId="164" fontId="20" fillId="0" borderId="1" xfId="0" applyFont="true" applyBorder="true" applyAlignment="true" applyProtection="false">
      <alignment horizontal="left" vertical="center" textRotation="0" wrapText="true" indent="0" shrinkToFit="false"/>
      <protection locked="true" hidden="false"/>
    </xf>
    <xf numFmtId="164" fontId="21" fillId="8" borderId="1" xfId="0" applyFont="true" applyBorder="true" applyAlignment="true" applyProtection="false">
      <alignment horizontal="center" vertical="center" textRotation="0" wrapText="true" indent="0" shrinkToFit="false"/>
      <protection locked="true" hidden="false"/>
    </xf>
    <xf numFmtId="166" fontId="18" fillId="4" borderId="1" xfId="0" applyFont="true" applyBorder="true" applyAlignment="true" applyProtection="false">
      <alignment horizontal="right" vertical="center" textRotation="0" wrapText="true" indent="0" shrinkToFit="false"/>
      <protection locked="true" hidden="false"/>
    </xf>
    <xf numFmtId="165" fontId="13" fillId="0" borderId="1" xfId="0" applyFont="true" applyBorder="true" applyAlignment="true" applyProtection="false">
      <alignment horizontal="right" vertical="center" textRotation="0" wrapText="true" indent="0" shrinkToFit="false"/>
      <protection locked="true" hidden="false"/>
    </xf>
    <xf numFmtId="164" fontId="22" fillId="9" borderId="1" xfId="0" applyFont="true" applyBorder="true" applyAlignment="true" applyProtection="false">
      <alignment horizontal="center" vertical="center" textRotation="0" wrapText="true" indent="0" shrinkToFit="false"/>
      <protection locked="true" hidden="false"/>
    </xf>
    <xf numFmtId="167" fontId="18" fillId="4" borderId="1" xfId="0" applyFont="true" applyBorder="true" applyAlignment="true" applyProtection="false">
      <alignment horizontal="right" vertical="center" textRotation="0" wrapText="true" indent="0" shrinkToFit="false"/>
      <protection locked="true" hidden="false"/>
    </xf>
    <xf numFmtId="168" fontId="18" fillId="4" borderId="1" xfId="0" applyFont="true" applyBorder="true" applyAlignment="true" applyProtection="false">
      <alignment horizontal="right" vertical="center" textRotation="0" wrapText="true" indent="0" shrinkToFit="false"/>
      <protection locked="true" hidden="false"/>
    </xf>
    <xf numFmtId="164" fontId="22" fillId="10" borderId="1" xfId="0" applyFont="true" applyBorder="true" applyAlignment="true" applyProtection="false">
      <alignment horizontal="center" vertical="center" textRotation="0" wrapText="true" indent="0" shrinkToFit="false"/>
      <protection locked="true" hidden="false"/>
    </xf>
    <xf numFmtId="164" fontId="23" fillId="0" borderId="0" xfId="0" applyFont="true" applyBorder="false" applyAlignment="true" applyProtection="false">
      <alignment horizontal="general" vertical="bottom" textRotation="0" wrapText="false" indent="0" shrinkToFit="false"/>
      <protection locked="true" hidden="false"/>
    </xf>
    <xf numFmtId="164" fontId="6" fillId="0" borderId="1" xfId="0" applyFont="true" applyBorder="true" applyAlignment="true" applyProtection="false">
      <alignment horizontal="left" vertical="center" textRotation="0" wrapText="true" indent="0" shrinkToFit="false"/>
      <protection locked="true" hidden="false"/>
    </xf>
    <xf numFmtId="164" fontId="24" fillId="0" borderId="1" xfId="0" applyFont="true" applyBorder="true" applyAlignment="true" applyProtection="false">
      <alignment horizontal="left" vertical="center" textRotation="0" wrapText="true" indent="0" shrinkToFit="false"/>
      <protection locked="true" hidden="false"/>
    </xf>
    <xf numFmtId="169" fontId="18" fillId="4" borderId="1" xfId="0" applyFont="true" applyBorder="true" applyAlignment="true" applyProtection="false">
      <alignment horizontal="right" vertical="center" textRotation="0" wrapText="true" indent="0" shrinkToFit="false"/>
      <protection locked="true" hidden="false"/>
    </xf>
    <xf numFmtId="164" fontId="8" fillId="2" borderId="1" xfId="0" applyFont="true" applyBorder="true" applyAlignment="true" applyProtection="false">
      <alignment horizontal="left" vertical="center" textRotation="0" wrapText="true" indent="0" shrinkToFit="false"/>
      <protection locked="true" hidden="false"/>
    </xf>
    <xf numFmtId="164" fontId="0" fillId="2" borderId="1" xfId="0" applyFont="false" applyBorder="true" applyAlignment="true" applyProtection="false">
      <alignment horizontal="general" vertical="bottom" textRotation="0" wrapText="false" indent="0" shrinkToFit="false"/>
      <protection locked="true" hidden="false"/>
    </xf>
    <xf numFmtId="165" fontId="25" fillId="2" borderId="2" xfId="0" applyFont="true" applyBorder="true" applyAlignment="true" applyProtection="false">
      <alignment horizontal="right" vertical="center" textRotation="0" wrapText="true" indent="0" shrinkToFit="false"/>
      <protection locked="true" hidden="false"/>
    </xf>
    <xf numFmtId="164" fontId="26" fillId="2" borderId="1" xfId="0" applyFont="true" applyBorder="true" applyAlignment="true" applyProtection="false">
      <alignment horizontal="general" vertical="bottom" textRotation="0" wrapText="false" indent="0" shrinkToFit="false"/>
      <protection locked="true" hidden="false"/>
    </xf>
    <xf numFmtId="164" fontId="8" fillId="2" borderId="1" xfId="0" applyFont="true" applyBorder="true" applyAlignment="true" applyProtection="false">
      <alignment horizontal="general" vertical="bottom" textRotation="0" wrapText="false" indent="0" shrinkToFit="false"/>
      <protection locked="true" hidden="false"/>
    </xf>
    <xf numFmtId="164" fontId="27" fillId="0" borderId="1" xfId="0" applyFont="true" applyBorder="true" applyAlignment="true" applyProtection="false">
      <alignment horizontal="general" vertical="bottom" textRotation="0" wrapText="false" indent="0" shrinkToFit="false"/>
      <protection locked="true" hidden="false"/>
    </xf>
    <xf numFmtId="164" fontId="25" fillId="2" borderId="2" xfId="0" applyFont="true" applyBorder="true" applyAlignment="true" applyProtection="false">
      <alignment horizontal="general" vertical="bottom" textRotation="0" wrapText="false" indent="0" shrinkToFit="false"/>
      <protection locked="true" hidden="false"/>
    </xf>
    <xf numFmtId="164" fontId="8" fillId="7" borderId="1" xfId="0" applyFont="true" applyBorder="true" applyAlignment="true" applyProtection="false">
      <alignment horizontal="general" vertical="bottom" textRotation="0" wrapText="false" indent="0" shrinkToFit="false"/>
      <protection locked="true" hidden="false"/>
    </xf>
    <xf numFmtId="165" fontId="14" fillId="0" borderId="1" xfId="0" applyFont="true" applyBorder="true" applyAlignment="true" applyProtection="false">
      <alignment horizontal="right" vertical="center" textRotation="0" wrapText="true" indent="0" shrinkToFit="false"/>
      <protection locked="true" hidden="false"/>
    </xf>
    <xf numFmtId="167" fontId="13" fillId="0" borderId="1" xfId="0" applyFont="true" applyBorder="true" applyAlignment="true" applyProtection="false">
      <alignment horizontal="right" vertical="center" textRotation="0" wrapText="true" indent="0" shrinkToFit="false"/>
      <protection locked="true" hidden="false"/>
    </xf>
    <xf numFmtId="164" fontId="8" fillId="7" borderId="1" xfId="0" applyFont="true" applyBorder="true" applyAlignment="true" applyProtection="false">
      <alignment horizontal="center" vertical="center" textRotation="0" wrapText="true" indent="0" shrinkToFit="false"/>
      <protection locked="true" hidden="false"/>
    </xf>
    <xf numFmtId="164" fontId="28" fillId="0" borderId="1" xfId="0" applyFont="true" applyBorder="true" applyAlignment="true" applyProtection="false">
      <alignment horizontal="left" vertical="center" textRotation="0" wrapText="true" indent="0" shrinkToFit="false"/>
      <protection locked="true" hidden="false"/>
    </xf>
    <xf numFmtId="169" fontId="14" fillId="0" borderId="1" xfId="0" applyFont="true" applyBorder="true" applyAlignment="true" applyProtection="false">
      <alignment horizontal="right" vertical="center" textRotation="0" wrapText="true" indent="0" shrinkToFit="false"/>
      <protection locked="true" hidden="false"/>
    </xf>
    <xf numFmtId="170" fontId="14" fillId="0" borderId="1" xfId="0" applyFont="true" applyBorder="true" applyAlignment="true" applyProtection="false">
      <alignment horizontal="right" vertical="center" textRotation="0" wrapText="true" indent="0" shrinkToFit="false"/>
      <protection locked="true" hidden="false"/>
    </xf>
    <xf numFmtId="167" fontId="14" fillId="0" borderId="1" xfId="0" applyFont="true" applyBorder="true" applyAlignment="true" applyProtection="false">
      <alignment horizontal="right" vertical="center" textRotation="0" wrapText="true" indent="0" shrinkToFit="false"/>
      <protection locked="true" hidden="false"/>
    </xf>
    <xf numFmtId="170" fontId="18" fillId="4" borderId="1" xfId="0" applyFont="true" applyBorder="true" applyAlignment="true" applyProtection="false">
      <alignment horizontal="right" vertical="center" textRotation="0" wrapText="true" indent="0" shrinkToFit="false"/>
      <protection locked="true" hidden="false"/>
    </xf>
    <xf numFmtId="165" fontId="29" fillId="0" borderId="1" xfId="0" applyFont="true" applyBorder="true" applyAlignment="true" applyProtection="false">
      <alignment horizontal="right" vertical="center" textRotation="0" wrapText="true" indent="0" shrinkToFit="false"/>
      <protection locked="true" hidden="false"/>
    </xf>
    <xf numFmtId="168" fontId="13" fillId="0" borderId="1" xfId="0" applyFont="true" applyBorder="true" applyAlignment="true" applyProtection="false">
      <alignment horizontal="right" vertical="center" textRotation="0" wrapText="true" indent="0" shrinkToFit="false"/>
      <protection locked="true" hidden="false"/>
    </xf>
    <xf numFmtId="164" fontId="6" fillId="4" borderId="1" xfId="0" applyFont="true" applyBorder="true" applyAlignment="true" applyProtection="false">
      <alignment horizontal="left" vertical="center" textRotation="0" wrapText="true" indent="0" shrinkToFit="false"/>
      <protection locked="true" hidden="false"/>
    </xf>
    <xf numFmtId="164" fontId="30" fillId="4" borderId="1" xfId="0" applyFont="true" applyBorder="true" applyAlignment="true" applyProtection="false">
      <alignment horizontal="center" vertical="center" textRotation="0" wrapText="true" indent="0" shrinkToFit="false"/>
      <protection locked="true" hidden="false"/>
    </xf>
    <xf numFmtId="165" fontId="12" fillId="4" borderId="1" xfId="0" applyFont="true" applyBorder="true" applyAlignment="true" applyProtection="false">
      <alignment horizontal="right" vertical="center" textRotation="0" wrapText="true" indent="0" shrinkToFit="false"/>
      <protection locked="true" hidden="false"/>
    </xf>
    <xf numFmtId="165" fontId="13" fillId="6" borderId="1" xfId="0" applyFont="true" applyBorder="true" applyAlignment="true" applyProtection="false">
      <alignment horizontal="right" vertical="center" textRotation="0" wrapText="true" indent="0" shrinkToFit="false"/>
      <protection locked="true" hidden="false"/>
    </xf>
    <xf numFmtId="168" fontId="13" fillId="6" borderId="1" xfId="0" applyFont="true" applyBorder="true" applyAlignment="true" applyProtection="false">
      <alignment horizontal="right" vertical="center" textRotation="0" wrapText="true" indent="0" shrinkToFit="false"/>
      <protection locked="true" hidden="false"/>
    </xf>
    <xf numFmtId="164" fontId="15" fillId="0" borderId="1" xfId="0" applyFont="true" applyBorder="true" applyAlignment="true" applyProtection="false">
      <alignment horizontal="left" vertical="center" textRotation="0" wrapText="true" indent="0" shrinkToFit="false"/>
      <protection locked="true" hidden="false"/>
    </xf>
    <xf numFmtId="168" fontId="29" fillId="0" borderId="1" xfId="0" applyFont="true" applyBorder="true" applyAlignment="true" applyProtection="false">
      <alignment horizontal="right" vertical="center" textRotation="0" wrapText="true" indent="0" shrinkToFit="false"/>
      <protection locked="true" hidden="false"/>
    </xf>
    <xf numFmtId="164" fontId="28" fillId="0" borderId="1" xfId="0" applyFont="true" applyBorder="true" applyAlignment="true" applyProtection="false">
      <alignment horizontal="center" vertical="center" textRotation="0" wrapText="true" indent="0" shrinkToFit="false"/>
      <protection locked="true" hidden="false"/>
    </xf>
    <xf numFmtId="171" fontId="8" fillId="2" borderId="1" xfId="0" applyFont="true" applyBorder="true" applyAlignment="true" applyProtection="false">
      <alignment horizontal="right" vertical="center" textRotation="0" wrapText="true" indent="0" shrinkToFit="false"/>
      <protection locked="true" hidden="false"/>
    </xf>
    <xf numFmtId="164" fontId="22" fillId="0" borderId="1" xfId="0" applyFont="true" applyBorder="true" applyAlignment="true" applyProtection="false">
      <alignment horizontal="center" vertical="center" textRotation="0" wrapText="true" indent="0" shrinkToFit="false"/>
      <protection locked="true" hidden="false"/>
    </xf>
    <xf numFmtId="164" fontId="6" fillId="11" borderId="1" xfId="0" applyFont="true" applyBorder="true" applyAlignment="true" applyProtection="false">
      <alignment horizontal="center" vertical="center" textRotation="0" wrapText="true" indent="0" shrinkToFit="false"/>
      <protection locked="true" hidden="false"/>
    </xf>
    <xf numFmtId="164" fontId="0" fillId="0" borderId="1" xfId="0" applyFont="true" applyBorder="true" applyAlignment="true" applyProtection="false">
      <alignment horizontal="center" vertical="center" textRotation="0" wrapText="true" indent="0" shrinkToFit="false"/>
      <protection locked="true" hidden="false"/>
    </xf>
    <xf numFmtId="164" fontId="6" fillId="12" borderId="1" xfId="0" applyFont="true" applyBorder="true" applyAlignment="true" applyProtection="false">
      <alignment horizontal="center" vertical="center" textRotation="0" wrapText="true" indent="0" shrinkToFit="false"/>
      <protection locked="true" hidden="false"/>
    </xf>
    <xf numFmtId="164" fontId="6" fillId="3" borderId="1" xfId="0" applyFont="true" applyBorder="true" applyAlignment="true" applyProtection="false">
      <alignment horizontal="center" vertical="center" textRotation="0" wrapText="true" indent="0" shrinkToFit="false"/>
      <protection locked="true" hidden="false"/>
    </xf>
    <xf numFmtId="164" fontId="6" fillId="13" borderId="1" xfId="0" applyFont="true" applyBorder="true" applyAlignment="true" applyProtection="false">
      <alignment horizontal="center" vertical="center" textRotation="0" wrapText="true" indent="0" shrinkToFit="false"/>
      <protection locked="true" hidden="false"/>
    </xf>
    <xf numFmtId="164" fontId="6" fillId="14" borderId="1" xfId="0" applyFont="true" applyBorder="true" applyAlignment="true" applyProtection="false">
      <alignment horizontal="center" vertical="center" textRotation="0" wrapText="true" indent="0" shrinkToFit="false"/>
      <protection locked="true" hidden="false"/>
    </xf>
    <xf numFmtId="164" fontId="6" fillId="9" borderId="1" xfId="0" applyFont="true" applyBorder="true" applyAlignment="true" applyProtection="false">
      <alignment horizontal="center" vertical="center" textRotation="0" wrapText="true" indent="0" shrinkToFit="false"/>
      <protection locked="true" hidden="false"/>
    </xf>
    <xf numFmtId="164" fontId="6" fillId="15" borderId="1" xfId="0" applyFont="true" applyBorder="true" applyAlignment="true" applyProtection="false">
      <alignment horizontal="center" vertical="center" textRotation="0" wrapText="true" indent="0" shrinkToFit="false"/>
      <protection locked="true" hidden="false"/>
    </xf>
    <xf numFmtId="164" fontId="6" fillId="16" borderId="1" xfId="0" applyFont="true" applyBorder="true" applyAlignment="true" applyProtection="false">
      <alignment horizontal="center" vertical="center" textRotation="0" wrapText="true" indent="0" shrinkToFit="false"/>
      <protection locked="true" hidden="false"/>
    </xf>
    <xf numFmtId="164" fontId="0" fillId="0" borderId="1" xfId="0" applyFont="false" applyBorder="true" applyAlignment="true" applyProtection="false">
      <alignment horizontal="general" vertical="bottom" textRotation="0" wrapText="false" indent="0" shrinkToFit="false"/>
      <protection locked="true" hidden="false"/>
    </xf>
    <xf numFmtId="167" fontId="8" fillId="2" borderId="1" xfId="0" applyFont="true" applyBorder="true" applyAlignment="true" applyProtection="false">
      <alignment horizontal="right" vertical="center" textRotation="0" wrapText="true" indent="0" shrinkToFit="false"/>
      <protection locked="true" hidden="false"/>
    </xf>
    <xf numFmtId="165" fontId="8" fillId="2" borderId="1" xfId="0" applyFont="true" applyBorder="true" applyAlignment="true" applyProtection="false">
      <alignment horizontal="right" vertical="center" textRotation="0" wrapText="true" indent="0" shrinkToFit="false"/>
      <protection locked="true" hidden="false"/>
    </xf>
    <xf numFmtId="164" fontId="0" fillId="7" borderId="1" xfId="0" applyFont="false" applyBorder="true" applyAlignment="true" applyProtection="false">
      <alignment horizontal="general" vertical="bottom" textRotation="0" wrapText="false" indent="0" shrinkToFit="false"/>
      <protection locked="true" hidden="false"/>
    </xf>
    <xf numFmtId="172" fontId="8" fillId="7" borderId="1" xfId="0" applyFont="true" applyBorder="true" applyAlignment="true" applyProtection="false">
      <alignment horizontal="right" vertical="center" textRotation="0" wrapText="true" indent="0" shrinkToFit="false"/>
      <protection locked="true" hidden="false"/>
    </xf>
    <xf numFmtId="164" fontId="26" fillId="7" borderId="1" xfId="0" applyFont="true" applyBorder="true" applyAlignment="true" applyProtection="false">
      <alignment horizontal="general" vertical="bottom" textRotation="0" wrapText="false" indent="0" shrinkToFit="false"/>
      <protection locked="true" hidden="false"/>
    </xf>
    <xf numFmtId="164" fontId="15" fillId="0" borderId="0" xfId="0" applyFont="true" applyBorder="true" applyAlignment="true" applyProtection="false">
      <alignment horizontal="general" vertical="bottom" textRotation="0" wrapText="false" indent="0" shrinkToFit="false"/>
      <protection locked="true" hidden="false"/>
    </xf>
    <xf numFmtId="164" fontId="29" fillId="0" borderId="1" xfId="0" applyFont="true" applyBorder="true" applyAlignment="true" applyProtection="false">
      <alignment horizontal="left" vertical="center" textRotation="0" wrapText="true" indent="0" shrinkToFit="false"/>
      <protection locked="true" hidden="false"/>
    </xf>
    <xf numFmtId="169" fontId="13" fillId="0" borderId="1" xfId="0" applyFont="true" applyBorder="true" applyAlignment="true" applyProtection="false">
      <alignment horizontal="right" vertical="center" textRotation="0" wrapText="true" indent="0" shrinkToFit="false"/>
      <protection locked="true" hidden="false"/>
    </xf>
    <xf numFmtId="164" fontId="9" fillId="6" borderId="1" xfId="0" applyFont="true" applyBorder="true" applyAlignment="true" applyProtection="false">
      <alignment horizontal="left" vertical="center" textRotation="0" wrapText="true" indent="0" shrinkToFit="false"/>
      <protection locked="true" hidden="false"/>
    </xf>
    <xf numFmtId="165" fontId="18" fillId="6" borderId="1" xfId="0" applyFont="true" applyBorder="true" applyAlignment="true" applyProtection="false">
      <alignment horizontal="right" vertical="center" textRotation="0" wrapText="true" indent="0" shrinkToFit="false"/>
      <protection locked="true" hidden="false"/>
    </xf>
    <xf numFmtId="169" fontId="13" fillId="6" borderId="1" xfId="0" applyFont="true" applyBorder="true" applyAlignment="true" applyProtection="false">
      <alignment horizontal="right" vertical="center" textRotation="0" wrapText="true" indent="0" shrinkToFit="false"/>
      <protection locked="true" hidden="false"/>
    </xf>
    <xf numFmtId="168" fontId="12" fillId="6" borderId="1" xfId="0" applyFont="true" applyBorder="true" applyAlignment="true" applyProtection="false">
      <alignment horizontal="right" vertical="center" textRotation="0" wrapText="true" indent="0" shrinkToFit="false"/>
      <protection locked="true" hidden="false"/>
    </xf>
    <xf numFmtId="167" fontId="12" fillId="6" borderId="1" xfId="0" applyFont="true" applyBorder="true" applyAlignment="true" applyProtection="false">
      <alignment horizontal="right" vertical="center" textRotation="0" wrapText="true" indent="0" shrinkToFit="false"/>
      <protection locked="true" hidden="false"/>
    </xf>
    <xf numFmtId="165" fontId="8" fillId="2" borderId="2" xfId="0" applyFont="true" applyBorder="true" applyAlignment="true" applyProtection="false">
      <alignment horizontal="right" vertical="center" textRotation="0" wrapText="true" indent="0" shrinkToFit="false"/>
      <protection locked="true" hidden="false"/>
    </xf>
    <xf numFmtId="164" fontId="31" fillId="0" borderId="1" xfId="0" applyFont="true" applyBorder="true" applyAlignment="true" applyProtection="false">
      <alignment horizontal="left" vertical="center" textRotation="0" wrapText="true" indent="0" shrinkToFit="false"/>
      <protection locked="true" hidden="false"/>
    </xf>
    <xf numFmtId="164" fontId="31" fillId="6" borderId="1" xfId="0" applyFont="true" applyBorder="true" applyAlignment="true" applyProtection="false">
      <alignment horizontal="left" vertical="center" textRotation="0" wrapText="true" indent="0" shrinkToFit="false"/>
      <protection locked="true" hidden="false"/>
    </xf>
    <xf numFmtId="164" fontId="7" fillId="5" borderId="1" xfId="0" applyFont="true" applyBorder="true" applyAlignment="true" applyProtection="false">
      <alignment horizontal="left" vertical="center" textRotation="0" wrapText="true" indent="0" shrinkToFit="false"/>
      <protection locked="true" hidden="false"/>
    </xf>
    <xf numFmtId="165" fontId="12" fillId="5" borderId="1" xfId="0" applyFont="true" applyBorder="true" applyAlignment="true" applyProtection="false">
      <alignment horizontal="right" vertical="center" textRotation="0" wrapText="true" indent="0" shrinkToFit="false"/>
      <protection locked="true" hidden="false"/>
    </xf>
    <xf numFmtId="165" fontId="13" fillId="5" borderId="1" xfId="0" applyFont="true" applyBorder="true" applyAlignment="true" applyProtection="false">
      <alignment horizontal="right" vertical="center" textRotation="0" wrapText="true" indent="0" shrinkToFit="false"/>
      <protection locked="true" hidden="false"/>
    </xf>
    <xf numFmtId="168" fontId="13" fillId="5" borderId="1" xfId="0" applyFont="true" applyBorder="true" applyAlignment="true" applyProtection="false">
      <alignment horizontal="right" vertical="center" textRotation="0" wrapText="true" indent="0" shrinkToFit="false"/>
      <protection locked="true" hidden="false"/>
    </xf>
    <xf numFmtId="167" fontId="13" fillId="5" borderId="1" xfId="0" applyFont="true" applyBorder="true" applyAlignment="true" applyProtection="false">
      <alignment horizontal="right" vertical="center" textRotation="0" wrapText="true" indent="0" shrinkToFit="false"/>
      <protection locked="true" hidden="false"/>
    </xf>
    <xf numFmtId="164" fontId="32" fillId="5" borderId="1" xfId="0" applyFont="true" applyBorder="true" applyAlignment="true" applyProtection="false">
      <alignment horizontal="center" vertical="center" textRotation="0" wrapText="true" indent="0" shrinkToFit="false"/>
      <protection locked="true" hidden="false"/>
    </xf>
    <xf numFmtId="164" fontId="6" fillId="6" borderId="1" xfId="0" applyFont="true" applyBorder="true" applyAlignment="true" applyProtection="false">
      <alignment horizontal="left" vertical="center" textRotation="0" wrapText="true" indent="0" shrinkToFit="false"/>
      <protection locked="true" hidden="false"/>
    </xf>
    <xf numFmtId="165" fontId="12" fillId="6" borderId="1" xfId="0" applyFont="true" applyBorder="true" applyAlignment="true" applyProtection="false">
      <alignment horizontal="right" vertical="center" textRotation="0" wrapText="true" indent="0" shrinkToFit="false"/>
      <protection locked="true" hidden="false"/>
    </xf>
    <xf numFmtId="167" fontId="13" fillId="6" borderId="1" xfId="0" applyFont="true" applyBorder="true" applyAlignment="true" applyProtection="false">
      <alignment horizontal="right" vertical="center" textRotation="0" wrapText="true" indent="0" shrinkToFit="false"/>
      <protection locked="true" hidden="false"/>
    </xf>
    <xf numFmtId="164" fontId="33" fillId="6" borderId="1" xfId="0" applyFont="true" applyBorder="true" applyAlignment="true" applyProtection="false">
      <alignment horizontal="center" vertical="center" textRotation="0" wrapText="true" indent="0" shrinkToFit="false"/>
      <protection locked="true" hidden="false"/>
    </xf>
    <xf numFmtId="164" fontId="6" fillId="0" borderId="1" xfId="0" applyFont="true" applyBorder="true" applyAlignment="true" applyProtection="false">
      <alignment horizontal="center" vertical="center" textRotation="0" wrapText="true" indent="0" shrinkToFit="false"/>
      <protection locked="true" hidden="false"/>
    </xf>
    <xf numFmtId="164" fontId="15" fillId="5" borderId="1" xfId="0" applyFont="true" applyBorder="true" applyAlignment="true" applyProtection="false">
      <alignment horizontal="left" vertical="center" textRotation="0" wrapText="true" indent="0" shrinkToFit="false"/>
      <protection locked="true" hidden="false"/>
    </xf>
    <xf numFmtId="164" fontId="34" fillId="0" borderId="1" xfId="0" applyFont="true" applyBorder="true" applyAlignment="true" applyProtection="false">
      <alignment horizontal="left" vertical="center" textRotation="0" wrapText="true" indent="0" shrinkToFit="false"/>
      <protection locked="true" hidden="false"/>
    </xf>
    <xf numFmtId="164" fontId="9" fillId="3" borderId="1" xfId="0" applyFont="true" applyBorder="true" applyAlignment="true" applyProtection="false">
      <alignment horizontal="left" vertical="center" textRotation="0" wrapText="true" indent="0" shrinkToFit="false"/>
      <protection locked="true" hidden="false"/>
    </xf>
    <xf numFmtId="164" fontId="6" fillId="3" borderId="1" xfId="0" applyFont="true" applyBorder="true" applyAlignment="true" applyProtection="false">
      <alignment horizontal="left" vertical="center" textRotation="0" wrapText="true" indent="0" shrinkToFit="false"/>
      <protection locked="true" hidden="false"/>
    </xf>
    <xf numFmtId="165" fontId="13" fillId="3" borderId="1" xfId="0" applyFont="true" applyBorder="true" applyAlignment="true" applyProtection="false">
      <alignment horizontal="right" vertical="center" textRotation="0" wrapText="true" indent="0" shrinkToFit="false"/>
      <protection locked="true" hidden="false"/>
    </xf>
    <xf numFmtId="168" fontId="13" fillId="3" borderId="1" xfId="0" applyFont="true" applyBorder="true" applyAlignment="true" applyProtection="false">
      <alignment horizontal="right" vertical="center" textRotation="0" wrapText="true" indent="0" shrinkToFit="false"/>
      <protection locked="true" hidden="false"/>
    </xf>
    <xf numFmtId="164" fontId="32" fillId="9" borderId="1" xfId="0" applyFont="true" applyBorder="true" applyAlignment="true" applyProtection="false">
      <alignment horizontal="left" vertical="center" textRotation="0" wrapText="true" indent="0" shrinkToFit="false"/>
      <protection locked="true" hidden="false"/>
    </xf>
    <xf numFmtId="167" fontId="13" fillId="9" borderId="1" xfId="0" applyFont="true" applyBorder="true" applyAlignment="true" applyProtection="false">
      <alignment horizontal="right" vertical="center" textRotation="0" wrapText="true" indent="0" shrinkToFit="false"/>
      <protection locked="true" hidden="false"/>
    </xf>
    <xf numFmtId="164" fontId="28" fillId="9" borderId="1" xfId="0" applyFont="true" applyBorder="true" applyAlignment="true" applyProtection="false">
      <alignment horizontal="left" vertical="center" textRotation="0" wrapText="true" indent="0" shrinkToFit="false"/>
      <protection locked="true" hidden="false"/>
    </xf>
    <xf numFmtId="164" fontId="6" fillId="6" borderId="1" xfId="0" applyFont="true" applyBorder="true" applyAlignment="true" applyProtection="false">
      <alignment horizontal="center" vertical="center" textRotation="0" wrapText="true" indent="0" shrinkToFit="false"/>
      <protection locked="true" hidden="false"/>
    </xf>
    <xf numFmtId="164" fontId="35" fillId="0" borderId="1" xfId="0" applyFont="true" applyBorder="true" applyAlignment="true" applyProtection="false">
      <alignment horizontal="left" vertical="center" textRotation="0" wrapText="true" indent="0" shrinkToFit="false"/>
      <protection locked="true" hidden="false"/>
    </xf>
    <xf numFmtId="164" fontId="36" fillId="9" borderId="1" xfId="0" applyFont="true" applyBorder="true" applyAlignment="true" applyProtection="false">
      <alignment horizontal="center" vertical="center" textRotation="0" wrapText="true" indent="0" shrinkToFit="false"/>
      <protection locked="true" hidden="false"/>
    </xf>
    <xf numFmtId="164" fontId="36" fillId="12" borderId="1" xfId="0" applyFont="true" applyBorder="true" applyAlignment="true" applyProtection="false">
      <alignment horizontal="center" vertical="center" textRotation="0" wrapText="true" indent="0" shrinkToFit="false"/>
      <protection locked="true" hidden="false"/>
    </xf>
    <xf numFmtId="164" fontId="36" fillId="11" borderId="1" xfId="0" applyFont="true" applyBorder="true" applyAlignment="true" applyProtection="false">
      <alignment horizontal="center" vertical="center" textRotation="0" wrapText="true" indent="0" shrinkToFit="false"/>
      <protection locked="true" hidden="false"/>
    </xf>
    <xf numFmtId="164" fontId="36" fillId="6" borderId="1" xfId="0" applyFont="true" applyBorder="true" applyAlignment="true" applyProtection="false">
      <alignment horizontal="center" vertical="center" textRotation="0" wrapText="true" indent="0" shrinkToFit="false"/>
      <protection locked="true" hidden="false"/>
    </xf>
    <xf numFmtId="164" fontId="36" fillId="17" borderId="1" xfId="0" applyFont="true" applyBorder="true" applyAlignment="true" applyProtection="false">
      <alignment horizontal="center" vertical="center" textRotation="0" wrapText="true" indent="0" shrinkToFit="false"/>
      <protection locked="true" hidden="false"/>
    </xf>
    <xf numFmtId="167" fontId="13" fillId="3" borderId="1" xfId="0" applyFont="true" applyBorder="true" applyAlignment="true" applyProtection="false">
      <alignment horizontal="right" vertical="center" textRotation="0" wrapText="true" indent="0" shrinkToFit="false"/>
      <protection locked="true" hidden="false"/>
    </xf>
    <xf numFmtId="164" fontId="37" fillId="7" borderId="1" xfId="0" applyFont="true" applyBorder="true" applyAlignment="true" applyProtection="false">
      <alignment horizontal="left" vertical="center" textRotation="0" wrapText="true" indent="0" shrinkToFit="false"/>
      <protection locked="true" hidden="false"/>
    </xf>
    <xf numFmtId="164" fontId="17" fillId="0" borderId="1" xfId="0" applyFont="true" applyBorder="true" applyAlignment="true" applyProtection="false">
      <alignment horizontal="left" vertical="center" textRotation="0" wrapText="true" indent="0" shrinkToFit="false"/>
      <protection locked="true" hidden="false"/>
    </xf>
    <xf numFmtId="164" fontId="24" fillId="0" borderId="1" xfId="0" applyFont="true" applyBorder="true" applyAlignment="true" applyProtection="false">
      <alignment horizontal="center" vertical="center" textRotation="0" wrapText="true" indent="0" shrinkToFit="false"/>
      <protection locked="true" hidden="false"/>
    </xf>
    <xf numFmtId="173" fontId="18" fillId="4" borderId="1" xfId="0" applyFont="true" applyBorder="true" applyAlignment="true" applyProtection="false">
      <alignment horizontal="right" vertical="center" textRotation="0" wrapText="true" indent="0" shrinkToFit="false"/>
      <protection locked="true" hidden="false"/>
    </xf>
    <xf numFmtId="164" fontId="18" fillId="4" borderId="1" xfId="0" applyFont="true" applyBorder="true" applyAlignment="true" applyProtection="false">
      <alignment horizontal="right" vertical="center" textRotation="0" wrapText="true" indent="0" shrinkToFit="false"/>
      <protection locked="true" hidden="false"/>
    </xf>
    <xf numFmtId="165" fontId="13" fillId="9" borderId="1" xfId="0" applyFont="true" applyBorder="true" applyAlignment="true" applyProtection="false">
      <alignment horizontal="right" vertical="center" textRotation="0" wrapText="true" indent="0" shrinkToFit="false"/>
      <protection locked="true" hidden="false"/>
    </xf>
    <xf numFmtId="167" fontId="13" fillId="0" borderId="1" xfId="0" applyFont="true" applyBorder="true" applyAlignment="true" applyProtection="false">
      <alignment horizontal="center" vertical="center" textRotation="0" wrapText="true" indent="0" shrinkToFit="false"/>
      <protection locked="true" hidden="false"/>
    </xf>
    <xf numFmtId="173" fontId="14" fillId="0" borderId="1" xfId="0" applyFont="true" applyBorder="true" applyAlignment="true" applyProtection="false">
      <alignment horizontal="right" vertical="center" textRotation="0" wrapText="true" indent="0" shrinkToFit="false"/>
      <protection locked="true" hidden="false"/>
    </xf>
    <xf numFmtId="174" fontId="29" fillId="0" borderId="1" xfId="0" applyFont="true" applyBorder="true" applyAlignment="true" applyProtection="false">
      <alignment horizontal="right" vertical="center" textRotation="0" wrapText="true" indent="0" shrinkToFit="false"/>
      <protection locked="true" hidden="false"/>
    </xf>
    <xf numFmtId="174" fontId="14" fillId="0" borderId="1" xfId="0" applyFont="true" applyBorder="true" applyAlignment="true" applyProtection="false">
      <alignment horizontal="right" vertical="center" textRotation="0" wrapText="true" indent="0" shrinkToFit="false"/>
      <protection locked="true" hidden="false"/>
    </xf>
    <xf numFmtId="164" fontId="6" fillId="5" borderId="1" xfId="0" applyFont="true" applyBorder="true" applyAlignment="true" applyProtection="false">
      <alignment horizontal="left" vertical="center" textRotation="0" wrapText="true" indent="0" shrinkToFit="false"/>
      <protection locked="true" hidden="false"/>
    </xf>
    <xf numFmtId="164" fontId="38" fillId="0" borderId="0" xfId="0" applyFont="true" applyBorder="true" applyAlignment="true" applyProtection="false">
      <alignment horizontal="general" vertical="bottom" textRotation="0" wrapText="false" indent="0" shrinkToFit="false"/>
      <protection locked="true" hidden="false"/>
    </xf>
    <xf numFmtId="164" fontId="8" fillId="18" borderId="1" xfId="0" applyFont="true" applyBorder="true" applyAlignment="true" applyProtection="false">
      <alignment horizontal="center" vertical="center" textRotation="0" wrapText="true" indent="0" shrinkToFit="false"/>
      <protection locked="true" hidden="false"/>
    </xf>
    <xf numFmtId="164" fontId="9" fillId="3" borderId="1" xfId="0" applyFont="true" applyBorder="true" applyAlignment="true" applyProtection="false">
      <alignment horizontal="left" vertical="top" textRotation="0" wrapText="true" indent="0" shrinkToFit="false"/>
      <protection locked="true" hidden="false"/>
    </xf>
    <xf numFmtId="164" fontId="6" fillId="6" borderId="1" xfId="0" applyFont="true" applyBorder="true" applyAlignment="true" applyProtection="false">
      <alignment horizontal="left" vertical="top" textRotation="0" wrapText="true" indent="0" shrinkToFit="false"/>
      <protection locked="true" hidden="false"/>
    </xf>
    <xf numFmtId="164" fontId="39" fillId="5" borderId="1" xfId="0" applyFont="true" applyBorder="true" applyAlignment="true" applyProtection="false">
      <alignment horizontal="left" vertical="top" textRotation="0" wrapText="true" indent="0" shrinkToFit="false"/>
      <protection locked="true" hidden="false"/>
    </xf>
    <xf numFmtId="164" fontId="39" fillId="6" borderId="1" xfId="0" applyFont="true" applyBorder="true" applyAlignment="true" applyProtection="false">
      <alignment horizontal="left" vertical="top" textRotation="0" wrapText="true" indent="0" shrinkToFit="false"/>
      <protection locked="true" hidden="false"/>
    </xf>
    <xf numFmtId="164" fontId="30" fillId="9" borderId="1" xfId="0" applyFont="true" applyBorder="true" applyAlignment="true" applyProtection="false">
      <alignment horizontal="left" vertical="top" textRotation="0" wrapText="true" indent="0" shrinkToFit="false"/>
      <protection locked="true" hidden="false"/>
    </xf>
    <xf numFmtId="164" fontId="39" fillId="3" borderId="1" xfId="0" applyFont="true" applyBorder="true" applyAlignment="true" applyProtection="false">
      <alignment horizontal="left" vertical="top" textRotation="0" wrapText="true" indent="0" shrinkToFit="false"/>
      <protection locked="true" hidden="false"/>
    </xf>
    <xf numFmtId="168" fontId="18" fillId="6" borderId="1" xfId="0" applyFont="true" applyBorder="true" applyAlignment="true" applyProtection="false">
      <alignment horizontal="right" vertical="center" textRotation="0" wrapText="true" indent="0" shrinkToFit="false"/>
      <protection locked="true" hidden="false"/>
    </xf>
    <xf numFmtId="164" fontId="6" fillId="5" borderId="1" xfId="0" applyFont="true" applyBorder="true" applyAlignment="true" applyProtection="false">
      <alignment horizontal="center" vertical="center" textRotation="0" wrapText="true" indent="0" shrinkToFit="false"/>
      <protection locked="true" hidden="false"/>
    </xf>
    <xf numFmtId="164" fontId="37" fillId="18" borderId="1" xfId="0" applyFont="true" applyBorder="true" applyAlignment="true" applyProtection="false">
      <alignment horizontal="center" vertical="center" textRotation="0" wrapText="true" indent="0" shrinkToFit="false"/>
      <protection locked="true" hidden="false"/>
    </xf>
    <xf numFmtId="168" fontId="18" fillId="9" borderId="1" xfId="0" applyFont="true" applyBorder="true" applyAlignment="true" applyProtection="false">
      <alignment horizontal="right" vertical="center" textRotation="0" wrapText="true" indent="0" shrinkToFit="false"/>
      <protection locked="true" hidden="false"/>
    </xf>
    <xf numFmtId="168" fontId="18" fillId="5" borderId="1" xfId="0" applyFont="true" applyBorder="true" applyAlignment="true" applyProtection="false">
      <alignment horizontal="right" vertical="center" textRotation="0" wrapText="true" indent="0" shrinkToFit="false"/>
      <protection locked="true" hidden="false"/>
    </xf>
    <xf numFmtId="164" fontId="13" fillId="0" borderId="1" xfId="0" applyFont="true" applyBorder="true" applyAlignment="true" applyProtection="false">
      <alignment horizontal="center" vertical="center" textRotation="0" wrapText="true" indent="0" shrinkToFit="false"/>
      <protection locked="true" hidden="false"/>
    </xf>
    <xf numFmtId="164" fontId="8" fillId="19" borderId="1" xfId="0" applyFont="true" applyBorder="true" applyAlignment="true" applyProtection="false">
      <alignment horizontal="left" vertical="center" textRotation="0" wrapText="true" indent="0" shrinkToFit="false"/>
      <protection locked="true" hidden="false"/>
    </xf>
    <xf numFmtId="164" fontId="30" fillId="0" borderId="1" xfId="0" applyFont="true" applyBorder="true" applyAlignment="true" applyProtection="false">
      <alignment horizontal="left" vertical="center" textRotation="0" wrapText="true" indent="0" shrinkToFit="false"/>
      <protection locked="true" hidden="false"/>
    </xf>
    <xf numFmtId="164" fontId="6" fillId="9" borderId="1" xfId="0" applyFont="true" applyBorder="true" applyAlignment="true" applyProtection="false">
      <alignment horizontal="left" vertical="center" textRotation="0" wrapText="true" indent="0" shrinkToFit="false"/>
      <protection locked="true" hidden="false"/>
    </xf>
    <xf numFmtId="164" fontId="25" fillId="2" borderId="2" xfId="0" applyFont="true" applyBorder="true" applyAlignment="true" applyProtection="false">
      <alignment horizontal="left" vertical="center" textRotation="0" wrapText="true" indent="0" shrinkToFit="false"/>
      <protection locked="true" hidden="false"/>
    </xf>
    <xf numFmtId="167" fontId="25" fillId="2" borderId="2" xfId="0" applyFont="true" applyBorder="true" applyAlignment="true" applyProtection="false">
      <alignment horizontal="right" vertical="center" textRotation="0" wrapText="true" indent="0" shrinkToFit="false"/>
      <protection locked="true" hidden="false"/>
    </xf>
    <xf numFmtId="164" fontId="15" fillId="4" borderId="1" xfId="0" applyFont="true" applyBorder="true" applyAlignment="true" applyProtection="false">
      <alignment horizontal="left" vertical="center" textRotation="0" wrapText="true" indent="0" shrinkToFit="false"/>
      <protection locked="true" hidden="false"/>
    </xf>
    <xf numFmtId="164" fontId="40" fillId="10" borderId="1" xfId="0" applyFont="true" applyBorder="true" applyAlignment="true" applyProtection="false">
      <alignment horizontal="left" vertical="center" textRotation="0" wrapText="true" indent="0" shrinkToFit="false"/>
      <protection locked="true" hidden="false"/>
    </xf>
    <xf numFmtId="164" fontId="40" fillId="0" borderId="1" xfId="0" applyFont="true" applyBorder="true" applyAlignment="true" applyProtection="false">
      <alignment horizontal="left" vertical="center" textRotation="0" wrapText="true" indent="0" shrinkToFit="false"/>
      <protection locked="true" hidden="false"/>
    </xf>
    <xf numFmtId="164" fontId="41" fillId="0"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center" vertical="center" textRotation="0" wrapText="true" indent="0" shrinkToFit="false"/>
      <protection locked="true" hidden="false"/>
    </xf>
    <xf numFmtId="164" fontId="6" fillId="10" borderId="1" xfId="0" applyFont="true" applyBorder="true" applyAlignment="true" applyProtection="false">
      <alignment horizontal="center" vertical="center" textRotation="0" wrapText="true" indent="0" shrinkToFit="false"/>
      <protection locked="true" hidden="false"/>
    </xf>
    <xf numFmtId="164" fontId="42" fillId="0" borderId="0" xfId="0" applyFont="true" applyBorder="false" applyAlignment="true" applyProtection="false">
      <alignment horizontal="general" vertical="bottom" textRotation="0" wrapText="false" indent="0" shrinkToFit="false"/>
      <protection locked="true" hidden="false"/>
    </xf>
    <xf numFmtId="164" fontId="24" fillId="0" borderId="0" xfId="0" applyFont="true" applyBorder="false" applyAlignment="true" applyProtection="false">
      <alignment horizontal="general" vertical="bottom" textRotation="0" wrapText="false" indent="0" shrinkToFit="false"/>
      <protection locked="true" hidden="false"/>
    </xf>
    <xf numFmtId="164" fontId="43" fillId="20" borderId="0" xfId="0" applyFont="true" applyBorder="true" applyAlignment="true" applyProtection="false">
      <alignment horizontal="center" vertical="center" textRotation="0" wrapText="false" indent="0" shrinkToFit="false"/>
      <protection locked="true" hidden="false"/>
    </xf>
    <xf numFmtId="164" fontId="44" fillId="0" borderId="0" xfId="0" applyFont="true" applyBorder="true" applyAlignment="true" applyProtection="false">
      <alignment horizontal="left" vertical="center"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true" applyAlignment="true" applyProtection="false">
      <alignment horizontal="general" vertical="bottom" textRotation="0" wrapText="false" indent="0" shrinkToFit="false"/>
      <protection locked="true" hidden="false"/>
    </xf>
    <xf numFmtId="164" fontId="0" fillId="0" borderId="0" xfId="0" applyFont="true" applyBorder="true" applyAlignment="true" applyProtection="false">
      <alignment horizontal="general" vertical="top" textRotation="0" wrapText="true" indent="0" shrinkToFit="false"/>
      <protection locked="true" hidden="false"/>
    </xf>
    <xf numFmtId="164" fontId="37" fillId="21" borderId="3" xfId="0" applyFont="true" applyBorder="true" applyAlignment="true" applyProtection="false">
      <alignment horizontal="center" vertical="center" textRotation="0" wrapText="true" indent="0" shrinkToFit="false"/>
      <protection locked="true" hidden="false"/>
    </xf>
    <xf numFmtId="164" fontId="7" fillId="22" borderId="3" xfId="0" applyFont="true" applyBorder="true" applyAlignment="true" applyProtection="false">
      <alignment horizontal="general" vertical="top" textRotation="0" wrapText="true" indent="0" shrinkToFit="false"/>
      <protection locked="true" hidden="false"/>
    </xf>
    <xf numFmtId="164" fontId="7" fillId="0" borderId="3" xfId="0" applyFont="true" applyBorder="true" applyAlignment="true" applyProtection="false">
      <alignment horizontal="general" vertical="top" textRotation="0" wrapText="true" indent="0" shrinkToFit="false"/>
      <protection locked="true" hidden="false"/>
    </xf>
    <xf numFmtId="164" fontId="7" fillId="23" borderId="3" xfId="0" applyFont="true" applyBorder="true" applyAlignment="true" applyProtection="false">
      <alignment horizontal="general" vertical="top" textRotation="0" wrapText="true" indent="0" shrinkToFit="false"/>
      <protection locked="true" hidden="false"/>
    </xf>
    <xf numFmtId="164" fontId="45" fillId="0" borderId="0" xfId="0" applyFont="true" applyBorder="true" applyAlignment="fals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6" fillId="0" borderId="3" xfId="0" applyFont="true" applyBorder="true" applyAlignment="true" applyProtection="false">
      <alignment horizontal="general" vertical="top" textRotation="0" wrapText="true" indent="0" shrinkToFit="false"/>
      <protection locked="true" hidden="false"/>
    </xf>
    <xf numFmtId="164" fontId="46" fillId="0" borderId="0" xfId="0" applyFont="true" applyBorder="true" applyAlignment="false" applyProtection="false">
      <alignment horizontal="general" vertical="bottom" textRotation="0" wrapText="false" indent="0" shrinkToFit="false"/>
      <protection locked="true" hidden="false"/>
    </xf>
    <xf numFmtId="164" fontId="37" fillId="21" borderId="0" xfId="0" applyFont="true" applyBorder="false" applyAlignment="false" applyProtection="false">
      <alignment horizontal="general" vertical="bottom" textRotation="0" wrapText="false" indent="0" shrinkToFit="false"/>
      <protection locked="true" hidden="false"/>
    </xf>
    <xf numFmtId="164" fontId="37" fillId="21" borderId="0" xfId="0" applyFont="true" applyBorder="true" applyAlignment="false" applyProtection="false">
      <alignment horizontal="general" vertical="bottom" textRotation="0" wrapText="false" indent="0" shrinkToFit="false"/>
      <protection locked="true" hidden="false"/>
    </xf>
    <xf numFmtId="164" fontId="47" fillId="0" borderId="0" xfId="0" applyFont="true" applyBorder="true" applyAlignment="false" applyProtection="false">
      <alignment horizontal="general" vertical="bottom" textRotation="0" wrapText="false" indent="0" shrinkToFit="false"/>
      <protection locked="true" hidden="false"/>
    </xf>
    <xf numFmtId="164" fontId="24" fillId="11" borderId="0"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C00000"/>
      <rgbColor rgb="FF00FF00"/>
      <rgbColor rgb="FF0000FF"/>
      <rgbColor rgb="FFFFFF00"/>
      <rgbColor rgb="FFFF00FF"/>
      <rgbColor rgb="FF00FFFF"/>
      <rgbColor rgb="FF9C0006"/>
      <rgbColor rgb="FF008000"/>
      <rgbColor rgb="FF000080"/>
      <rgbColor rgb="FF808000"/>
      <rgbColor rgb="FF800080"/>
      <rgbColor rgb="FF008080"/>
      <rgbColor rgb="FFA9D08E"/>
      <rgbColor rgb="FF808080"/>
      <rgbColor rgb="FFEDEDED"/>
      <rgbColor rgb="FF993366"/>
      <rgbColor rgb="FFFFF2CC"/>
      <rgbColor rgb="FFDEEBF7"/>
      <rgbColor rgb="FF660066"/>
      <rgbColor rgb="FFFF6B6B"/>
      <rgbColor rgb="FF0070C0"/>
      <rgbColor rgb="FFBDD7EE"/>
      <rgbColor rgb="FF000080"/>
      <rgbColor rgb="FFFF00FF"/>
      <rgbColor rgb="FFF2F2F2"/>
      <rgbColor rgb="FF00FFFF"/>
      <rgbColor rgb="FF800080"/>
      <rgbColor rgb="FF800000"/>
      <rgbColor rgb="FF008080"/>
      <rgbColor rgb="FF0000FF"/>
      <rgbColor rgb="FF00CCFF"/>
      <rgbColor rgb="FFE2EFDA"/>
      <rgbColor rgb="FFC6EFCE"/>
      <rgbColor rgb="FFFFEB9C"/>
      <rgbColor rgb="FFC6E0B4"/>
      <rgbColor rgb="FFFFC7CE"/>
      <rgbColor rgb="FFFCE4D6"/>
      <rgbColor rgb="FFF4CCCC"/>
      <rgbColor rgb="FF3366FF"/>
      <rgbColor rgb="FF33CCCC"/>
      <rgbColor rgb="FF99CC00"/>
      <rgbColor rgb="FFFCE5CD"/>
      <rgbColor rgb="FFFF9900"/>
      <rgbColor rgb="FFFF6600"/>
      <rgbColor rgb="FF595959"/>
      <rgbColor rgb="FF999999"/>
      <rgbColor rgb="FF1F4E79"/>
      <rgbColor rgb="FF339966"/>
      <rgbColor rgb="FF006100"/>
      <rgbColor rgb="FF385723"/>
      <rgbColor rgb="FFB45F06"/>
      <rgbColor rgb="FF993366"/>
      <rgbColor rgb="FF2F5496"/>
      <rgbColor rgb="FF43434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C69"/>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4"/>
    <col collapsed="false" customWidth="true" hidden="false" outlineLevel="0" max="2" min="2" style="1" width="32"/>
    <col collapsed="false" customWidth="true" hidden="false" outlineLevel="0" max="3" min="3" style="1" width="85"/>
    <col collapsed="false" customWidth="true" hidden="false" outlineLevel="0" max="4" min="4" style="1" width="4"/>
  </cols>
  <sheetData>
    <row r="2" customFormat="false" ht="27.75" hidden="false" customHeight="true" outlineLevel="0" collapsed="false">
      <c r="B2" s="2" t="s">
        <v>0</v>
      </c>
      <c r="C2" s="2"/>
    </row>
    <row r="3" customFormat="false" ht="15" hidden="false" customHeight="true" outlineLevel="0" collapsed="false">
      <c r="B3" s="3" t="s">
        <v>1</v>
      </c>
      <c r="C3" s="3"/>
    </row>
    <row r="5" customFormat="false" ht="19.5" hidden="false" customHeight="true" outlineLevel="0" collapsed="false">
      <c r="B5" s="4" t="s">
        <v>2</v>
      </c>
      <c r="C5" s="5" t="s">
        <v>3</v>
      </c>
    </row>
    <row r="6" customFormat="false" ht="19.5" hidden="false" customHeight="true" outlineLevel="0" collapsed="false">
      <c r="B6" s="4" t="s">
        <v>4</v>
      </c>
      <c r="C6" s="5" t="s">
        <v>5</v>
      </c>
    </row>
    <row r="7" customFormat="false" ht="19.5" hidden="false" customHeight="true" outlineLevel="0" collapsed="false">
      <c r="B7" s="4" t="s">
        <v>6</v>
      </c>
      <c r="C7" s="5" t="s">
        <v>7</v>
      </c>
    </row>
    <row r="8" customFormat="false" ht="19.5" hidden="false" customHeight="true" outlineLevel="0" collapsed="false">
      <c r="B8" s="4" t="s">
        <v>8</v>
      </c>
      <c r="C8" s="5" t="s">
        <v>9</v>
      </c>
    </row>
    <row r="9" customFormat="false" ht="19.5" hidden="false" customHeight="true" outlineLevel="0" collapsed="false">
      <c r="B9" s="4" t="s">
        <v>10</v>
      </c>
      <c r="C9" s="5" t="s">
        <v>11</v>
      </c>
    </row>
    <row r="10" customFormat="false" ht="19.5" hidden="false" customHeight="true" outlineLevel="0" collapsed="false">
      <c r="B10" s="4" t="s">
        <v>12</v>
      </c>
      <c r="C10" s="5" t="s">
        <v>13</v>
      </c>
    </row>
    <row r="11" customFormat="false" ht="19.5" hidden="false" customHeight="true" outlineLevel="0" collapsed="false">
      <c r="B11" s="4" t="s">
        <v>14</v>
      </c>
      <c r="C11" s="5" t="s">
        <v>15</v>
      </c>
    </row>
    <row r="12" customFormat="false" ht="19.5" hidden="false" customHeight="true" outlineLevel="0" collapsed="false">
      <c r="B12" s="4" t="s">
        <v>16</v>
      </c>
      <c r="C12" s="5" t="s">
        <v>17</v>
      </c>
    </row>
    <row r="13" customFormat="false" ht="19.5" hidden="false" customHeight="true" outlineLevel="0" collapsed="false"/>
    <row r="14" customFormat="false" ht="19.5" hidden="false" customHeight="true" outlineLevel="0" collapsed="false">
      <c r="B14" s="6" t="s">
        <v>18</v>
      </c>
      <c r="C14" s="6"/>
    </row>
    <row r="15" customFormat="false" ht="19.5" hidden="false" customHeight="true" outlineLevel="0" collapsed="false">
      <c r="B15" s="7" t="s">
        <v>19</v>
      </c>
      <c r="C15" s="8" t="s">
        <v>20</v>
      </c>
    </row>
    <row r="16" customFormat="false" ht="19.5" hidden="false" customHeight="true" outlineLevel="0" collapsed="false">
      <c r="B16" s="7" t="s">
        <v>21</v>
      </c>
      <c r="C16" s="8" t="s">
        <v>22</v>
      </c>
    </row>
    <row r="17" customFormat="false" ht="19.5" hidden="false" customHeight="true" outlineLevel="0" collapsed="false">
      <c r="B17" s="7" t="s">
        <v>23</v>
      </c>
      <c r="C17" s="8" t="s">
        <v>24</v>
      </c>
    </row>
    <row r="18" customFormat="false" ht="19.5" hidden="false" customHeight="true" outlineLevel="0" collapsed="false">
      <c r="B18" s="7" t="s">
        <v>25</v>
      </c>
      <c r="C18" s="8" t="s">
        <v>26</v>
      </c>
    </row>
    <row r="19" customFormat="false" ht="19.5" hidden="false" customHeight="true" outlineLevel="0" collapsed="false">
      <c r="B19" s="7" t="s">
        <v>27</v>
      </c>
      <c r="C19" s="8" t="s">
        <v>28</v>
      </c>
    </row>
    <row r="20" customFormat="false" ht="19.5" hidden="false" customHeight="true" outlineLevel="0" collapsed="false">
      <c r="B20" s="7" t="s">
        <v>29</v>
      </c>
      <c r="C20" s="8" t="s">
        <v>30</v>
      </c>
    </row>
    <row r="21" customFormat="false" ht="19.5" hidden="false" customHeight="true" outlineLevel="0" collapsed="false">
      <c r="B21" s="7" t="s">
        <v>31</v>
      </c>
      <c r="C21" s="8" t="s">
        <v>32</v>
      </c>
    </row>
    <row r="22" customFormat="false" ht="19.5" hidden="false" customHeight="true" outlineLevel="0" collapsed="false">
      <c r="B22" s="7" t="s">
        <v>33</v>
      </c>
      <c r="C22" s="8" t="s">
        <v>34</v>
      </c>
    </row>
    <row r="23" customFormat="false" ht="19.5" hidden="false" customHeight="true" outlineLevel="0" collapsed="false">
      <c r="B23" s="7" t="s">
        <v>35</v>
      </c>
      <c r="C23" s="8" t="s">
        <v>36</v>
      </c>
    </row>
    <row r="24" customFormat="false" ht="19.5" hidden="false" customHeight="true" outlineLevel="0" collapsed="false">
      <c r="B24" s="7" t="s">
        <v>37</v>
      </c>
      <c r="C24" s="8" t="s">
        <v>38</v>
      </c>
    </row>
    <row r="25" customFormat="false" ht="19.5" hidden="false" customHeight="true" outlineLevel="0" collapsed="false">
      <c r="B25" s="7" t="s">
        <v>39</v>
      </c>
      <c r="C25" s="8" t="s">
        <v>40</v>
      </c>
    </row>
    <row r="26" customFormat="false" ht="19.5" hidden="false" customHeight="true" outlineLevel="0" collapsed="false">
      <c r="B26" s="7" t="s">
        <v>41</v>
      </c>
      <c r="C26" s="8" t="s">
        <v>42</v>
      </c>
    </row>
    <row r="27" customFormat="false" ht="19.5" hidden="false" customHeight="true" outlineLevel="0" collapsed="false">
      <c r="B27" s="7" t="s">
        <v>43</v>
      </c>
      <c r="C27" s="8" t="s">
        <v>44</v>
      </c>
    </row>
    <row r="28" customFormat="false" ht="19.5" hidden="false" customHeight="true" outlineLevel="0" collapsed="false"/>
    <row r="29" customFormat="false" ht="19.5" hidden="false" customHeight="true" outlineLevel="0" collapsed="false"/>
    <row r="30" customFormat="false" ht="19.5" hidden="false" customHeight="true" outlineLevel="0" collapsed="false">
      <c r="B30" s="6" t="s">
        <v>45</v>
      </c>
      <c r="C30" s="6"/>
    </row>
    <row r="31" customFormat="false" ht="19.5" hidden="false" customHeight="true" outlineLevel="0" collapsed="false">
      <c r="B31" s="9" t="s">
        <v>46</v>
      </c>
      <c r="C31" s="10" t="s">
        <v>47</v>
      </c>
    </row>
    <row r="32" customFormat="false" ht="19.5" hidden="false" customHeight="true" outlineLevel="0" collapsed="false">
      <c r="B32" s="9" t="s">
        <v>48</v>
      </c>
      <c r="C32" s="10" t="s">
        <v>49</v>
      </c>
    </row>
    <row r="33" customFormat="false" ht="19.5" hidden="false" customHeight="true" outlineLevel="0" collapsed="false">
      <c r="B33" s="9" t="s">
        <v>50</v>
      </c>
      <c r="C33" s="10" t="s">
        <v>51</v>
      </c>
    </row>
    <row r="34" customFormat="false" ht="19.5" hidden="false" customHeight="true" outlineLevel="0" collapsed="false">
      <c r="B34" s="9" t="s">
        <v>52</v>
      </c>
      <c r="C34" s="10" t="s">
        <v>53</v>
      </c>
    </row>
    <row r="35" customFormat="false" ht="19.5" hidden="false" customHeight="true" outlineLevel="0" collapsed="false">
      <c r="B35" s="9" t="s">
        <v>54</v>
      </c>
      <c r="C35" s="10" t="s">
        <v>55</v>
      </c>
    </row>
    <row r="36" customFormat="false" ht="19.5" hidden="false" customHeight="true" outlineLevel="0" collapsed="false">
      <c r="B36" s="9" t="s">
        <v>56</v>
      </c>
      <c r="C36" s="10" t="s">
        <v>57</v>
      </c>
    </row>
    <row r="37" customFormat="false" ht="19.5" hidden="false" customHeight="true" outlineLevel="0" collapsed="false">
      <c r="B37" s="9" t="s">
        <v>58</v>
      </c>
      <c r="C37" s="10" t="s">
        <v>59</v>
      </c>
    </row>
    <row r="38" customFormat="false" ht="19.5" hidden="false" customHeight="true" outlineLevel="0" collapsed="false">
      <c r="B38" s="9" t="s">
        <v>60</v>
      </c>
      <c r="C38" s="10" t="s">
        <v>61</v>
      </c>
    </row>
    <row r="39" customFormat="false" ht="19.5" hidden="false" customHeight="true" outlineLevel="0" collapsed="false">
      <c r="B39" s="9" t="s">
        <v>62</v>
      </c>
      <c r="C39" s="10" t="s">
        <v>63</v>
      </c>
    </row>
    <row r="40" customFormat="false" ht="19.5" hidden="false" customHeight="true" outlineLevel="0" collapsed="false">
      <c r="B40" s="9" t="s">
        <v>64</v>
      </c>
      <c r="C40" s="10" t="s">
        <v>65</v>
      </c>
    </row>
    <row r="41" customFormat="false" ht="19.5" hidden="false" customHeight="true" outlineLevel="0" collapsed="false">
      <c r="B41" s="9" t="s">
        <v>66</v>
      </c>
      <c r="C41" s="10" t="s">
        <v>67</v>
      </c>
    </row>
    <row r="42" customFormat="false" ht="19.5" hidden="false" customHeight="true" outlineLevel="0" collapsed="false">
      <c r="B42" s="9" t="s">
        <v>68</v>
      </c>
      <c r="C42" s="10" t="s">
        <v>69</v>
      </c>
    </row>
    <row r="43" customFormat="false" ht="19.5" hidden="false" customHeight="true" outlineLevel="0" collapsed="false">
      <c r="B43" s="9" t="s">
        <v>70</v>
      </c>
      <c r="C43" s="10" t="s">
        <v>71</v>
      </c>
    </row>
    <row r="44" customFormat="false" ht="19.5" hidden="false" customHeight="true" outlineLevel="0" collapsed="false">
      <c r="B44" s="11" t="s">
        <v>72</v>
      </c>
      <c r="C44" s="12" t="s">
        <v>73</v>
      </c>
    </row>
    <row r="45" customFormat="false" ht="19.5" hidden="false" customHeight="true" outlineLevel="0" collapsed="false"/>
    <row r="46" customFormat="false" ht="19.5" hidden="false" customHeight="true" outlineLevel="0" collapsed="false">
      <c r="B46" s="6" t="s">
        <v>74</v>
      </c>
      <c r="C46" s="6"/>
    </row>
    <row r="47" customFormat="false" ht="19.5" hidden="false" customHeight="true" outlineLevel="0" collapsed="false">
      <c r="B47" s="13" t="s">
        <v>75</v>
      </c>
      <c r="C47" s="14" t="s">
        <v>76</v>
      </c>
    </row>
    <row r="48" customFormat="false" ht="19.5" hidden="false" customHeight="true" outlineLevel="0" collapsed="false">
      <c r="B48" s="15" t="s">
        <v>77</v>
      </c>
      <c r="C48" s="14" t="s">
        <v>78</v>
      </c>
    </row>
    <row r="49" customFormat="false" ht="19.5" hidden="false" customHeight="true" outlineLevel="0" collapsed="false">
      <c r="B49" s="16" t="s">
        <v>79</v>
      </c>
      <c r="C49" s="14" t="s">
        <v>80</v>
      </c>
    </row>
    <row r="50" customFormat="false" ht="19.5" hidden="false" customHeight="true" outlineLevel="0" collapsed="false">
      <c r="B50" s="17" t="s">
        <v>81</v>
      </c>
      <c r="C50" s="14" t="s">
        <v>82</v>
      </c>
    </row>
    <row r="51" customFormat="false" ht="19.5" hidden="false" customHeight="true" outlineLevel="0" collapsed="false">
      <c r="B51" s="18" t="s">
        <v>83</v>
      </c>
      <c r="C51" s="14" t="s">
        <v>84</v>
      </c>
    </row>
    <row r="52" customFormat="false" ht="19.5" hidden="false" customHeight="true" outlineLevel="0" collapsed="false"/>
    <row r="53" customFormat="false" ht="19.5" hidden="false" customHeight="true" outlineLevel="0" collapsed="false"/>
    <row r="54" customFormat="false" ht="19.5" hidden="false" customHeight="true" outlineLevel="0" collapsed="false">
      <c r="B54" s="19" t="s">
        <v>85</v>
      </c>
      <c r="C54" s="19"/>
    </row>
    <row r="55" customFormat="false" ht="19.5" hidden="false" customHeight="true" outlineLevel="0" collapsed="false">
      <c r="B55" s="20" t="s">
        <v>86</v>
      </c>
      <c r="C55" s="10" t="s">
        <v>87</v>
      </c>
    </row>
    <row r="56" customFormat="false" ht="19.5" hidden="false" customHeight="true" outlineLevel="0" collapsed="false">
      <c r="B56" s="20" t="s">
        <v>86</v>
      </c>
      <c r="C56" s="10" t="s">
        <v>88</v>
      </c>
    </row>
    <row r="57" customFormat="false" ht="19.5" hidden="false" customHeight="true" outlineLevel="0" collapsed="false">
      <c r="B57" s="20" t="s">
        <v>86</v>
      </c>
      <c r="C57" s="10" t="s">
        <v>89</v>
      </c>
    </row>
    <row r="58" customFormat="false" ht="19.5" hidden="false" customHeight="true" outlineLevel="0" collapsed="false">
      <c r="B58" s="20" t="s">
        <v>86</v>
      </c>
      <c r="C58" s="10" t="s">
        <v>90</v>
      </c>
    </row>
    <row r="59" customFormat="false" ht="19.5" hidden="false" customHeight="true" outlineLevel="0" collapsed="false">
      <c r="B59" s="20" t="s">
        <v>86</v>
      </c>
      <c r="C59" s="10" t="s">
        <v>91</v>
      </c>
    </row>
    <row r="60" customFormat="false" ht="19.5" hidden="false" customHeight="true" outlineLevel="0" collapsed="false">
      <c r="B60" s="20" t="s">
        <v>86</v>
      </c>
      <c r="C60" s="10" t="s">
        <v>92</v>
      </c>
    </row>
    <row r="61" customFormat="false" ht="19.5" hidden="false" customHeight="true" outlineLevel="0" collapsed="false">
      <c r="B61" s="20" t="s">
        <v>86</v>
      </c>
      <c r="C61" s="10" t="s">
        <v>93</v>
      </c>
    </row>
    <row r="62" customFormat="false" ht="19.5" hidden="false" customHeight="true" outlineLevel="0" collapsed="false">
      <c r="B62" s="1" t="s">
        <v>94</v>
      </c>
      <c r="C62" s="21" t="s">
        <v>95</v>
      </c>
    </row>
    <row r="63" customFormat="false" ht="19.5" hidden="false" customHeight="true" outlineLevel="0" collapsed="false"/>
    <row r="64" customFormat="false" ht="19.5" hidden="false" customHeight="true" outlineLevel="0" collapsed="false"/>
    <row r="65" customFormat="false" ht="19.5" hidden="false" customHeight="true" outlineLevel="0" collapsed="false"/>
    <row r="66" customFormat="false" ht="19.5" hidden="false" customHeight="true" outlineLevel="0" collapsed="false"/>
    <row r="67" customFormat="false" ht="19.5" hidden="false" customHeight="true" outlineLevel="0" collapsed="false"/>
    <row r="68" customFormat="false" ht="19.5" hidden="false" customHeight="true" outlineLevel="0" collapsed="false"/>
    <row r="69" customFormat="false" ht="19.5" hidden="false" customHeight="true" outlineLevel="0" collapsed="false"/>
  </sheetData>
  <mergeCells count="6">
    <mergeCell ref="B2:C2"/>
    <mergeCell ref="B3:C3"/>
    <mergeCell ref="B14:C14"/>
    <mergeCell ref="B30:C30"/>
    <mergeCell ref="B46:C46"/>
    <mergeCell ref="B54:C5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G5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3"/>
    <col collapsed="false" customWidth="true" hidden="false" outlineLevel="0" max="2" min="2" style="1" width="42"/>
    <col collapsed="false" customWidth="true" hidden="false" outlineLevel="0" max="4" min="3" style="1" width="18"/>
    <col collapsed="false" customWidth="true" hidden="false" outlineLevel="0" max="5" min="5" style="1" width="14"/>
    <col collapsed="false" customWidth="true" hidden="false" outlineLevel="0" max="6" min="6" style="1" width="50"/>
    <col collapsed="false" customWidth="true" hidden="false" outlineLevel="0" max="7" min="7" style="1" width="22"/>
    <col collapsed="false" customWidth="true" hidden="false" outlineLevel="0" max="8" min="8" style="1" width="3"/>
  </cols>
  <sheetData>
    <row r="2" customFormat="false" ht="27.75" hidden="false" customHeight="true" outlineLevel="0" collapsed="false">
      <c r="B2" s="22" t="s">
        <v>96</v>
      </c>
      <c r="C2" s="22"/>
      <c r="D2" s="22"/>
      <c r="E2" s="22"/>
      <c r="F2" s="22"/>
      <c r="G2" s="22"/>
    </row>
    <row r="3" customFormat="false" ht="15" hidden="false" customHeight="true" outlineLevel="0" collapsed="false">
      <c r="B3" s="23" t="s">
        <v>97</v>
      </c>
      <c r="C3" s="23"/>
      <c r="D3" s="23"/>
      <c r="E3" s="23"/>
      <c r="F3" s="23"/>
      <c r="G3" s="23"/>
    </row>
    <row r="5" customFormat="false" ht="15" hidden="false" customHeight="true" outlineLevel="0" collapsed="false">
      <c r="B5" s="6" t="s">
        <v>98</v>
      </c>
      <c r="C5" s="6" t="s">
        <v>99</v>
      </c>
      <c r="D5" s="6" t="s">
        <v>100</v>
      </c>
      <c r="E5" s="6" t="s">
        <v>101</v>
      </c>
      <c r="F5" s="6" t="s">
        <v>102</v>
      </c>
      <c r="G5" s="6" t="s">
        <v>103</v>
      </c>
    </row>
    <row r="6" customFormat="false" ht="15" hidden="false" customHeight="true" outlineLevel="0" collapsed="false">
      <c r="B6" s="24" t="s">
        <v>104</v>
      </c>
      <c r="C6" s="24"/>
      <c r="D6" s="24"/>
      <c r="E6" s="24"/>
      <c r="F6" s="24"/>
      <c r="G6" s="24"/>
    </row>
    <row r="7" customFormat="false" ht="15" hidden="false" customHeight="true" outlineLevel="0" collapsed="false">
      <c r="B7" s="10" t="s">
        <v>105</v>
      </c>
      <c r="C7" s="25" t="n">
        <v>2800</v>
      </c>
      <c r="D7" s="26" t="s">
        <v>106</v>
      </c>
      <c r="E7" s="27" t="s">
        <v>107</v>
      </c>
      <c r="F7" s="28" t="s">
        <v>108</v>
      </c>
      <c r="G7" s="29" t="s">
        <v>109</v>
      </c>
    </row>
    <row r="8" customFormat="false" ht="15" hidden="false" customHeight="true" outlineLevel="0" collapsed="false">
      <c r="B8" s="10" t="s">
        <v>110</v>
      </c>
      <c r="C8" s="30" t="n">
        <v>1.85</v>
      </c>
      <c r="D8" s="26" t="s">
        <v>111</v>
      </c>
      <c r="E8" s="27" t="s">
        <v>112</v>
      </c>
      <c r="F8" s="28" t="s">
        <v>113</v>
      </c>
      <c r="G8" s="29" t="s">
        <v>109</v>
      </c>
    </row>
    <row r="9" customFormat="false" ht="15" hidden="false" customHeight="true" outlineLevel="0" collapsed="false">
      <c r="B9" s="10" t="s">
        <v>114</v>
      </c>
      <c r="C9" s="31" t="n">
        <f aca="false">C7*C8</f>
        <v>5180</v>
      </c>
      <c r="D9" s="26" t="s">
        <v>106</v>
      </c>
      <c r="E9" s="27" t="s">
        <v>115</v>
      </c>
      <c r="F9" s="28" t="s">
        <v>116</v>
      </c>
      <c r="G9" s="29" t="s">
        <v>109</v>
      </c>
    </row>
    <row r="10" customFormat="false" ht="15" hidden="false" customHeight="true" outlineLevel="0" collapsed="false">
      <c r="B10" s="10" t="s">
        <v>117</v>
      </c>
      <c r="C10" s="30" t="n">
        <v>140.8</v>
      </c>
      <c r="D10" s="26" t="s">
        <v>118</v>
      </c>
      <c r="E10" s="27" t="s">
        <v>119</v>
      </c>
      <c r="F10" s="28" t="s">
        <v>120</v>
      </c>
      <c r="G10" s="29" t="s">
        <v>109</v>
      </c>
    </row>
    <row r="11" customFormat="false" ht="15" hidden="false" customHeight="true" outlineLevel="0" collapsed="false">
      <c r="B11" s="10" t="s">
        <v>121</v>
      </c>
      <c r="C11" s="30" t="n">
        <v>36.79</v>
      </c>
      <c r="D11" s="26" t="s">
        <v>122</v>
      </c>
      <c r="E11" s="27" t="s">
        <v>123</v>
      </c>
      <c r="F11" s="28" t="s">
        <v>124</v>
      </c>
      <c r="G11" s="29" t="s">
        <v>109</v>
      </c>
    </row>
    <row r="12" customFormat="false" ht="15" hidden="false" customHeight="true" outlineLevel="0" collapsed="false">
      <c r="B12" s="10" t="s">
        <v>125</v>
      </c>
      <c r="C12" s="25" t="n">
        <v>5800</v>
      </c>
      <c r="D12" s="26" t="s">
        <v>106</v>
      </c>
      <c r="E12" s="27" t="s">
        <v>126</v>
      </c>
      <c r="F12" s="28" t="s">
        <v>108</v>
      </c>
      <c r="G12" s="32" t="s">
        <v>127</v>
      </c>
    </row>
    <row r="13" customFormat="false" ht="15" hidden="false" customHeight="true" outlineLevel="0" collapsed="false">
      <c r="B13" s="10" t="s">
        <v>128</v>
      </c>
      <c r="C13" s="33" t="n">
        <v>6</v>
      </c>
      <c r="D13" s="26" t="s">
        <v>129</v>
      </c>
      <c r="E13" s="27" t="s">
        <v>130</v>
      </c>
      <c r="F13" s="28" t="s">
        <v>131</v>
      </c>
      <c r="G13" s="32" t="s">
        <v>127</v>
      </c>
    </row>
    <row r="14" customFormat="false" ht="15" hidden="false" customHeight="true" outlineLevel="0" collapsed="false">
      <c r="B14" s="10" t="s">
        <v>132</v>
      </c>
      <c r="C14" s="31" t="n">
        <f aca="false">C12/C13</f>
        <v>966.666666666667</v>
      </c>
      <c r="D14" s="26" t="s">
        <v>133</v>
      </c>
      <c r="E14" s="27" t="s">
        <v>134</v>
      </c>
      <c r="F14" s="28" t="s">
        <v>135</v>
      </c>
      <c r="G14" s="32" t="s">
        <v>127</v>
      </c>
    </row>
    <row r="16" customFormat="false" ht="15" hidden="false" customHeight="true" outlineLevel="0" collapsed="false">
      <c r="B16" s="24" t="s">
        <v>136</v>
      </c>
      <c r="C16" s="24"/>
      <c r="D16" s="24"/>
      <c r="E16" s="24"/>
      <c r="F16" s="24"/>
      <c r="G16" s="24"/>
    </row>
    <row r="17" customFormat="false" ht="15" hidden="false" customHeight="true" outlineLevel="0" collapsed="false">
      <c r="B17" s="10" t="s">
        <v>137</v>
      </c>
      <c r="C17" s="30" t="n">
        <v>14.6</v>
      </c>
      <c r="D17" s="26" t="s">
        <v>118</v>
      </c>
      <c r="E17" s="27" t="s">
        <v>138</v>
      </c>
      <c r="F17" s="28" t="s">
        <v>139</v>
      </c>
      <c r="G17" s="29" t="s">
        <v>109</v>
      </c>
    </row>
    <row r="18" customFormat="false" ht="15" hidden="false" customHeight="true" outlineLevel="0" collapsed="false">
      <c r="B18" s="10" t="s">
        <v>140</v>
      </c>
      <c r="C18" s="30" t="n">
        <v>14.1</v>
      </c>
      <c r="D18" s="26" t="s">
        <v>118</v>
      </c>
      <c r="E18" s="27" t="s">
        <v>141</v>
      </c>
      <c r="F18" s="28" t="s">
        <v>142</v>
      </c>
      <c r="G18" s="29" t="s">
        <v>109</v>
      </c>
    </row>
    <row r="19" customFormat="false" ht="15" hidden="false" customHeight="true" outlineLevel="0" collapsed="false">
      <c r="B19" s="10" t="s">
        <v>143</v>
      </c>
      <c r="C19" s="30" t="n">
        <v>15.1</v>
      </c>
      <c r="D19" s="26" t="s">
        <v>118</v>
      </c>
      <c r="E19" s="27" t="s">
        <v>144</v>
      </c>
      <c r="F19" s="28" t="s">
        <v>145</v>
      </c>
      <c r="G19" s="32" t="s">
        <v>127</v>
      </c>
    </row>
    <row r="20" customFormat="false" ht="15" hidden="false" customHeight="true" outlineLevel="0" collapsed="false">
      <c r="B20" s="10" t="s">
        <v>146</v>
      </c>
      <c r="C20" s="30" t="n">
        <v>15</v>
      </c>
      <c r="D20" s="26" t="s">
        <v>147</v>
      </c>
      <c r="E20" s="27" t="s">
        <v>148</v>
      </c>
      <c r="F20" s="28" t="s">
        <v>149</v>
      </c>
      <c r="G20" s="29" t="s">
        <v>109</v>
      </c>
    </row>
    <row r="22" customFormat="false" ht="15" hidden="false" customHeight="true" outlineLevel="0" collapsed="false">
      <c r="B22" s="24" t="s">
        <v>150</v>
      </c>
      <c r="C22" s="24"/>
      <c r="D22" s="24"/>
      <c r="E22" s="24"/>
      <c r="F22" s="24"/>
      <c r="G22" s="24"/>
    </row>
    <row r="23" customFormat="false" ht="15" hidden="false" customHeight="true" outlineLevel="0" collapsed="false">
      <c r="B23" s="10" t="s">
        <v>151</v>
      </c>
      <c r="C23" s="25" t="n">
        <v>529</v>
      </c>
      <c r="D23" s="26" t="s">
        <v>152</v>
      </c>
      <c r="E23" s="27" t="s">
        <v>153</v>
      </c>
      <c r="F23" s="28" t="s">
        <v>154</v>
      </c>
      <c r="G23" s="29" t="s">
        <v>109</v>
      </c>
    </row>
    <row r="24" customFormat="false" ht="15" hidden="false" customHeight="true" outlineLevel="0" collapsed="false">
      <c r="B24" s="10" t="s">
        <v>155</v>
      </c>
      <c r="C24" s="25" t="n">
        <v>704</v>
      </c>
      <c r="D24" s="26" t="s">
        <v>152</v>
      </c>
      <c r="E24" s="27" t="s">
        <v>156</v>
      </c>
      <c r="F24" s="28" t="s">
        <v>157</v>
      </c>
      <c r="G24" s="32" t="s">
        <v>127</v>
      </c>
    </row>
    <row r="25" customFormat="false" ht="15" hidden="false" customHeight="true" outlineLevel="0" collapsed="false">
      <c r="B25" s="10" t="s">
        <v>158</v>
      </c>
      <c r="C25" s="25" t="n">
        <v>1500</v>
      </c>
      <c r="D25" s="26" t="s">
        <v>159</v>
      </c>
      <c r="E25" s="27" t="s">
        <v>160</v>
      </c>
      <c r="F25" s="28" t="s">
        <v>161</v>
      </c>
      <c r="G25" s="29" t="s">
        <v>109</v>
      </c>
    </row>
    <row r="26" customFormat="false" ht="15" hidden="false" customHeight="true" outlineLevel="0" collapsed="false">
      <c r="B26" s="10" t="s">
        <v>162</v>
      </c>
      <c r="C26" s="34" t="n">
        <v>0.74</v>
      </c>
      <c r="D26" s="26" t="s">
        <v>163</v>
      </c>
      <c r="E26" s="27" t="s">
        <v>164</v>
      </c>
      <c r="F26" s="28" t="s">
        <v>165</v>
      </c>
      <c r="G26" s="32" t="s">
        <v>127</v>
      </c>
    </row>
    <row r="27" customFormat="false" ht="15" hidden="false" customHeight="true" outlineLevel="0" collapsed="false">
      <c r="B27" s="10" t="s">
        <v>166</v>
      </c>
      <c r="C27" s="34" t="n">
        <v>0.84</v>
      </c>
      <c r="D27" s="26" t="s">
        <v>163</v>
      </c>
      <c r="E27" s="27" t="s">
        <v>167</v>
      </c>
      <c r="F27" s="28" t="s">
        <v>168</v>
      </c>
      <c r="G27" s="32" t="s">
        <v>127</v>
      </c>
    </row>
    <row r="28" customFormat="false" ht="15" hidden="false" customHeight="true" outlineLevel="0" collapsed="false">
      <c r="B28" s="10" t="s">
        <v>169</v>
      </c>
      <c r="C28" s="25" t="n">
        <v>390</v>
      </c>
      <c r="D28" s="26" t="s">
        <v>170</v>
      </c>
      <c r="E28" s="27" t="s">
        <v>171</v>
      </c>
      <c r="F28" s="28" t="s">
        <v>172</v>
      </c>
      <c r="G28" s="35" t="s">
        <v>173</v>
      </c>
    </row>
    <row r="30" customFormat="false" ht="15" hidden="false" customHeight="true" outlineLevel="0" collapsed="false">
      <c r="B30" s="24" t="s">
        <v>174</v>
      </c>
      <c r="C30" s="24"/>
      <c r="D30" s="24"/>
      <c r="E30" s="24"/>
      <c r="F30" s="24"/>
      <c r="G30" s="24"/>
    </row>
    <row r="31" customFormat="false" ht="15" hidden="false" customHeight="true" outlineLevel="0" collapsed="false">
      <c r="B31" s="10" t="s">
        <v>175</v>
      </c>
      <c r="C31" s="25" t="n">
        <v>1200</v>
      </c>
      <c r="D31" s="26" t="s">
        <v>170</v>
      </c>
      <c r="E31" s="27" t="s">
        <v>176</v>
      </c>
      <c r="F31" s="28" t="s">
        <v>177</v>
      </c>
      <c r="G31" s="29" t="s">
        <v>109</v>
      </c>
    </row>
    <row r="32" customFormat="false" ht="15" hidden="false" customHeight="true" outlineLevel="0" collapsed="false">
      <c r="B32" s="10" t="s">
        <v>178</v>
      </c>
      <c r="C32" s="25" t="n">
        <v>1500</v>
      </c>
      <c r="D32" s="26" t="s">
        <v>170</v>
      </c>
      <c r="E32" s="27" t="s">
        <v>179</v>
      </c>
      <c r="F32" s="28" t="s">
        <v>180</v>
      </c>
      <c r="G32" s="29" t="s">
        <v>109</v>
      </c>
    </row>
    <row r="33" customFormat="false" ht="15" hidden="false" customHeight="true" outlineLevel="0" collapsed="false">
      <c r="B33" s="10" t="s">
        <v>181</v>
      </c>
      <c r="C33" s="25" t="n">
        <v>2500</v>
      </c>
      <c r="D33" s="26" t="s">
        <v>170</v>
      </c>
      <c r="E33" s="27" t="s">
        <v>182</v>
      </c>
      <c r="F33" s="28" t="s">
        <v>183</v>
      </c>
      <c r="G33" s="29" t="s">
        <v>109</v>
      </c>
    </row>
    <row r="35" customFormat="false" ht="15" hidden="false" customHeight="true" outlineLevel="0" collapsed="false">
      <c r="B35" s="24" t="s">
        <v>184</v>
      </c>
      <c r="C35" s="24"/>
      <c r="D35" s="24"/>
      <c r="E35" s="24"/>
      <c r="F35" s="24"/>
      <c r="G35" s="24"/>
    </row>
    <row r="36" customFormat="false" ht="15" hidden="false" customHeight="true" outlineLevel="0" collapsed="false">
      <c r="B36" s="10" t="s">
        <v>185</v>
      </c>
      <c r="C36" s="33" t="n">
        <v>22</v>
      </c>
      <c r="D36" s="26" t="s">
        <v>186</v>
      </c>
      <c r="E36" s="27" t="s">
        <v>187</v>
      </c>
      <c r="F36" s="28" t="s">
        <v>188</v>
      </c>
      <c r="G36" s="29" t="s">
        <v>109</v>
      </c>
    </row>
    <row r="37" customFormat="false" ht="15" hidden="false" customHeight="true" outlineLevel="0" collapsed="false">
      <c r="B37" s="10" t="s">
        <v>189</v>
      </c>
      <c r="C37" s="33" t="n">
        <v>150</v>
      </c>
      <c r="D37" s="26" t="s">
        <v>190</v>
      </c>
      <c r="E37" s="27" t="s">
        <v>191</v>
      </c>
      <c r="F37" s="28" t="s">
        <v>192</v>
      </c>
      <c r="G37" s="29" t="s">
        <v>109</v>
      </c>
    </row>
    <row r="38" customFormat="false" ht="15" hidden="false" customHeight="true" outlineLevel="0" collapsed="false">
      <c r="B38" s="10" t="s">
        <v>193</v>
      </c>
      <c r="C38" s="33" t="n">
        <v>90</v>
      </c>
      <c r="D38" s="26" t="s">
        <v>194</v>
      </c>
      <c r="E38" s="27" t="s">
        <v>195</v>
      </c>
      <c r="F38" s="28" t="s">
        <v>196</v>
      </c>
      <c r="G38" s="32" t="s">
        <v>127</v>
      </c>
    </row>
    <row r="39" customFormat="false" ht="15" hidden="false" customHeight="true" outlineLevel="0" collapsed="false">
      <c r="B39" s="10" t="s">
        <v>197</v>
      </c>
      <c r="C39" s="33" t="n">
        <v>6</v>
      </c>
      <c r="D39" s="26" t="s">
        <v>129</v>
      </c>
      <c r="E39" s="27" t="s">
        <v>198</v>
      </c>
      <c r="F39" s="28" t="s">
        <v>196</v>
      </c>
      <c r="G39" s="29" t="s">
        <v>109</v>
      </c>
    </row>
    <row r="40" customFormat="false" ht="15" hidden="false" customHeight="true" outlineLevel="0" collapsed="false">
      <c r="B40" s="10" t="s">
        <v>199</v>
      </c>
      <c r="C40" s="34" t="n">
        <v>0.9</v>
      </c>
      <c r="D40" s="26" t="s">
        <v>163</v>
      </c>
      <c r="E40" s="27" t="s">
        <v>200</v>
      </c>
      <c r="F40" s="28" t="s">
        <v>201</v>
      </c>
      <c r="G40" s="32" t="s">
        <v>127</v>
      </c>
    </row>
    <row r="42" customFormat="false" ht="15" hidden="false" customHeight="true" outlineLevel="0" collapsed="false">
      <c r="B42" s="24" t="s">
        <v>202</v>
      </c>
      <c r="C42" s="24"/>
      <c r="D42" s="24"/>
      <c r="E42" s="24"/>
      <c r="F42" s="24"/>
      <c r="G42" s="24"/>
    </row>
    <row r="43" customFormat="false" ht="21.75" hidden="false" customHeight="true" outlineLevel="0" collapsed="false">
      <c r="B43" s="10" t="s">
        <v>203</v>
      </c>
      <c r="C43" s="25" t="n">
        <v>12000</v>
      </c>
      <c r="D43" s="26" t="s">
        <v>170</v>
      </c>
      <c r="E43" s="27" t="s">
        <v>204</v>
      </c>
      <c r="F43" s="28" t="s">
        <v>205</v>
      </c>
      <c r="G43" s="29" t="s">
        <v>109</v>
      </c>
    </row>
    <row r="44" customFormat="false" ht="15" hidden="false" customHeight="true" outlineLevel="0" collapsed="false">
      <c r="B44" s="10" t="s">
        <v>206</v>
      </c>
      <c r="C44" s="25" t="n">
        <v>570</v>
      </c>
      <c r="D44" s="26" t="s">
        <v>170</v>
      </c>
      <c r="E44" s="27" t="s">
        <v>207</v>
      </c>
      <c r="F44" s="28" t="s">
        <v>208</v>
      </c>
      <c r="G44" s="35" t="s">
        <v>173</v>
      </c>
    </row>
    <row r="45" customFormat="false" ht="15" hidden="false" customHeight="true" outlineLevel="0" collapsed="false">
      <c r="B45" s="10" t="s">
        <v>209</v>
      </c>
      <c r="C45" s="25" t="n">
        <v>1580</v>
      </c>
      <c r="D45" s="26" t="s">
        <v>170</v>
      </c>
      <c r="E45" s="27" t="s">
        <v>210</v>
      </c>
      <c r="F45" s="28" t="s">
        <v>211</v>
      </c>
      <c r="G45" s="35" t="s">
        <v>173</v>
      </c>
    </row>
    <row r="46" customFormat="false" ht="15" hidden="false" customHeight="true" outlineLevel="0" collapsed="false">
      <c r="B46" s="10" t="s">
        <v>212</v>
      </c>
      <c r="C46" s="25" t="n">
        <v>450</v>
      </c>
      <c r="D46" s="26" t="s">
        <v>170</v>
      </c>
      <c r="E46" s="27" t="s">
        <v>213</v>
      </c>
      <c r="F46" s="28" t="s">
        <v>214</v>
      </c>
      <c r="G46" s="35" t="s">
        <v>173</v>
      </c>
    </row>
    <row r="47" customFormat="false" ht="15" hidden="false" customHeight="true" outlineLevel="0" collapsed="false">
      <c r="B47" s="10" t="s">
        <v>215</v>
      </c>
      <c r="C47" s="34" t="n">
        <v>0.875</v>
      </c>
      <c r="D47" s="26" t="s">
        <v>163</v>
      </c>
      <c r="E47" s="27" t="s">
        <v>216</v>
      </c>
      <c r="F47" s="28" t="s">
        <v>217</v>
      </c>
      <c r="G47" s="35" t="s">
        <v>173</v>
      </c>
    </row>
    <row r="48" customFormat="false" ht="23.25" hidden="false" customHeight="true" outlineLevel="0" collapsed="false">
      <c r="B48" s="10" t="s">
        <v>218</v>
      </c>
      <c r="C48" s="30" t="n">
        <v>7</v>
      </c>
      <c r="D48" s="26" t="s">
        <v>111</v>
      </c>
      <c r="E48" s="27" t="s">
        <v>219</v>
      </c>
      <c r="F48" s="28" t="s">
        <v>196</v>
      </c>
      <c r="G48" s="35" t="s">
        <v>173</v>
      </c>
    </row>
    <row r="49" customFormat="false" ht="23.25" hidden="false" customHeight="true" outlineLevel="0" collapsed="false">
      <c r="B49" s="10" t="s">
        <v>220</v>
      </c>
      <c r="C49" s="30" t="n">
        <v>23</v>
      </c>
      <c r="D49" s="26" t="s">
        <v>111</v>
      </c>
      <c r="E49" s="27" t="s">
        <v>221</v>
      </c>
      <c r="F49" s="28" t="s">
        <v>196</v>
      </c>
      <c r="G49" s="35" t="s">
        <v>173</v>
      </c>
    </row>
    <row r="51" customFormat="false" ht="15" hidden="false" customHeight="true" outlineLevel="0" collapsed="false">
      <c r="B51" s="24" t="s">
        <v>222</v>
      </c>
      <c r="C51" s="24"/>
      <c r="D51" s="24"/>
      <c r="E51" s="24"/>
      <c r="F51" s="24"/>
      <c r="G51" s="24"/>
    </row>
    <row r="52" customFormat="false" ht="15" hidden="false" customHeight="true" outlineLevel="0" collapsed="false">
      <c r="B52" s="10" t="s">
        <v>223</v>
      </c>
      <c r="C52" s="33" t="n">
        <v>800000</v>
      </c>
      <c r="D52" s="26" t="s">
        <v>224</v>
      </c>
      <c r="E52" s="27" t="s">
        <v>225</v>
      </c>
      <c r="F52" s="28" t="s">
        <v>226</v>
      </c>
      <c r="G52" s="35" t="s">
        <v>173</v>
      </c>
    </row>
    <row r="53" customFormat="false" ht="15" hidden="false" customHeight="true" outlineLevel="0" collapsed="false">
      <c r="B53" s="10" t="s">
        <v>227</v>
      </c>
      <c r="C53" s="34" t="n">
        <v>0.7</v>
      </c>
      <c r="D53" s="26" t="s">
        <v>163</v>
      </c>
      <c r="E53" s="27" t="s">
        <v>228</v>
      </c>
      <c r="F53" s="28" t="s">
        <v>229</v>
      </c>
      <c r="G53" s="35" t="s">
        <v>173</v>
      </c>
    </row>
    <row r="54" customFormat="false" ht="15" hidden="false" customHeight="true" outlineLevel="0" collapsed="false">
      <c r="B54" s="10" t="s">
        <v>230</v>
      </c>
      <c r="C54" s="33" t="n">
        <v>819541</v>
      </c>
      <c r="D54" s="26" t="s">
        <v>190</v>
      </c>
      <c r="E54" s="27" t="s">
        <v>231</v>
      </c>
      <c r="F54" s="28" t="s">
        <v>232</v>
      </c>
      <c r="G54" s="35" t="s">
        <v>173</v>
      </c>
    </row>
    <row r="55" customFormat="false" ht="15" hidden="false" customHeight="true" outlineLevel="0" collapsed="false">
      <c r="B55" s="10" t="s">
        <v>233</v>
      </c>
      <c r="C55" s="34" t="n">
        <v>0.073</v>
      </c>
      <c r="D55" s="26" t="s">
        <v>163</v>
      </c>
      <c r="E55" s="27" t="s">
        <v>234</v>
      </c>
      <c r="F55" s="28" t="s">
        <v>235</v>
      </c>
      <c r="G55" s="35" t="s">
        <v>173</v>
      </c>
    </row>
    <row r="56" customFormat="false" ht="15" hidden="false" customHeight="true" outlineLevel="0" collapsed="false">
      <c r="B56" s="10" t="s">
        <v>236</v>
      </c>
      <c r="C56" s="30" t="n">
        <v>2.1</v>
      </c>
      <c r="D56" s="26" t="s">
        <v>111</v>
      </c>
      <c r="E56" s="27" t="s">
        <v>237</v>
      </c>
      <c r="F56" s="28" t="s">
        <v>238</v>
      </c>
      <c r="G56" s="35" t="s">
        <v>173</v>
      </c>
    </row>
    <row r="57" customFormat="false" ht="15" hidden="false" customHeight="true" outlineLevel="0" collapsed="false">
      <c r="B57" s="10" t="s">
        <v>239</v>
      </c>
      <c r="C57" s="34" t="n">
        <v>0.93</v>
      </c>
      <c r="D57" s="26" t="s">
        <v>163</v>
      </c>
      <c r="E57" s="27" t="s">
        <v>240</v>
      </c>
      <c r="F57" s="28" t="s">
        <v>241</v>
      </c>
      <c r="G57" s="32" t="s">
        <v>127</v>
      </c>
    </row>
    <row r="58" customFormat="false" ht="15" hidden="false" customHeight="true" outlineLevel="0" collapsed="false">
      <c r="B58" s="10" t="s">
        <v>242</v>
      </c>
      <c r="C58" s="34" t="n">
        <v>0.35</v>
      </c>
      <c r="D58" s="26" t="s">
        <v>163</v>
      </c>
      <c r="E58" s="27" t="s">
        <v>243</v>
      </c>
      <c r="F58" s="28" t="s">
        <v>244</v>
      </c>
      <c r="G58" s="32" t="s">
        <v>127</v>
      </c>
    </row>
    <row r="59" customFormat="false" ht="15" hidden="false" customHeight="true" outlineLevel="0" collapsed="false">
      <c r="B59" s="10" t="s">
        <v>245</v>
      </c>
      <c r="C59" s="33" t="n">
        <v>1466</v>
      </c>
      <c r="D59" s="26" t="s">
        <v>118</v>
      </c>
      <c r="E59" s="27" t="s">
        <v>246</v>
      </c>
      <c r="F59" s="28" t="s">
        <v>247</v>
      </c>
      <c r="G59" s="35" t="s">
        <v>173</v>
      </c>
    </row>
  </sheetData>
  <mergeCells count="9">
    <mergeCell ref="B2:G2"/>
    <mergeCell ref="B3:G3"/>
    <mergeCell ref="B6:G6"/>
    <mergeCell ref="B16:G16"/>
    <mergeCell ref="B22:G22"/>
    <mergeCell ref="B30:G30"/>
    <mergeCell ref="B35:G35"/>
    <mergeCell ref="B42:G42"/>
    <mergeCell ref="B51:G5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M5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3"/>
    <col collapsed="false" customWidth="true" hidden="false" outlineLevel="0" max="2" min="2" style="1" width="28"/>
    <col collapsed="false" customWidth="true" hidden="false" outlineLevel="0" max="3" min="3" style="1" width="26"/>
    <col collapsed="false" customWidth="true" hidden="false" outlineLevel="0" max="10" min="4" style="1" width="14"/>
    <col collapsed="false" customWidth="true" hidden="false" outlineLevel="0" max="11" min="11" style="1" width="36"/>
    <col collapsed="false" customWidth="true" hidden="false" outlineLevel="0" max="12" min="12" style="1" width="3"/>
  </cols>
  <sheetData>
    <row r="1" customFormat="false" ht="15" hidden="false" customHeight="true" outlineLevel="0" collapsed="false">
      <c r="M1" s="36" t="s">
        <v>248</v>
      </c>
    </row>
    <row r="2" customFormat="false" ht="19.5" hidden="false" customHeight="true" outlineLevel="0" collapsed="false">
      <c r="B2" s="22" t="s">
        <v>249</v>
      </c>
      <c r="C2" s="22"/>
      <c r="D2" s="22"/>
      <c r="E2" s="22"/>
      <c r="F2" s="22"/>
      <c r="G2" s="22"/>
      <c r="H2" s="22"/>
      <c r="I2" s="22"/>
      <c r="J2" s="22"/>
      <c r="K2" s="22"/>
    </row>
    <row r="3" customFormat="false" ht="15" hidden="false" customHeight="true" outlineLevel="0" collapsed="false">
      <c r="B3" s="23" t="s">
        <v>250</v>
      </c>
      <c r="C3" s="23"/>
      <c r="D3" s="23"/>
      <c r="E3" s="23"/>
      <c r="F3" s="23"/>
      <c r="G3" s="23"/>
      <c r="H3" s="23"/>
      <c r="I3" s="23"/>
      <c r="J3" s="23"/>
      <c r="K3" s="23"/>
    </row>
    <row r="5" customFormat="false" ht="77.25" hidden="false" customHeight="true" outlineLevel="0" collapsed="false">
      <c r="B5" s="6" t="s">
        <v>251</v>
      </c>
      <c r="C5" s="6" t="s">
        <v>252</v>
      </c>
      <c r="D5" s="6" t="s">
        <v>253</v>
      </c>
      <c r="E5" s="6" t="s">
        <v>254</v>
      </c>
      <c r="F5" s="6" t="s">
        <v>255</v>
      </c>
      <c r="G5" s="6" t="s">
        <v>256</v>
      </c>
      <c r="H5" s="6" t="s">
        <v>257</v>
      </c>
      <c r="I5" s="6" t="s">
        <v>258</v>
      </c>
      <c r="J5" s="6" t="s">
        <v>259</v>
      </c>
      <c r="K5" s="6" t="s">
        <v>260</v>
      </c>
      <c r="L5" s="6" t="s">
        <v>261</v>
      </c>
    </row>
    <row r="6" customFormat="false" ht="303" hidden="false" customHeight="true" outlineLevel="0" collapsed="false">
      <c r="B6" s="37" t="s">
        <v>262</v>
      </c>
      <c r="C6" s="10" t="s">
        <v>263</v>
      </c>
      <c r="D6" s="38" t="s">
        <v>264</v>
      </c>
      <c r="E6" s="25" t="n">
        <v>5000</v>
      </c>
      <c r="F6" s="39" t="n">
        <v>1</v>
      </c>
      <c r="G6" s="31" t="n">
        <f aca="false">E6*F6</f>
        <v>5000</v>
      </c>
      <c r="H6" s="33" t="n">
        <v>1</v>
      </c>
      <c r="I6" s="33" t="n">
        <v>1</v>
      </c>
      <c r="J6" s="33" t="n">
        <v>1</v>
      </c>
      <c r="K6" s="31" t="n">
        <f aca="false">G6*I6</f>
        <v>5000</v>
      </c>
      <c r="L6" s="38" t="s">
        <v>265</v>
      </c>
    </row>
    <row r="7" customFormat="false" ht="325.5" hidden="false" customHeight="true" outlineLevel="0" collapsed="false">
      <c r="B7" s="37" t="s">
        <v>266</v>
      </c>
      <c r="C7" s="10" t="s">
        <v>267</v>
      </c>
      <c r="D7" s="38" t="s">
        <v>268</v>
      </c>
      <c r="E7" s="25" t="n">
        <v>4500</v>
      </c>
      <c r="F7" s="39" t="n">
        <v>1</v>
      </c>
      <c r="G7" s="31" t="n">
        <f aca="false">E7*F7</f>
        <v>4500</v>
      </c>
      <c r="H7" s="33" t="n">
        <v>1</v>
      </c>
      <c r="I7" s="33" t="n">
        <v>1</v>
      </c>
      <c r="J7" s="33" t="n">
        <v>1</v>
      </c>
      <c r="K7" s="31" t="n">
        <f aca="false">G7*I7</f>
        <v>4500</v>
      </c>
      <c r="L7" s="38" t="s">
        <v>269</v>
      </c>
    </row>
    <row r="8" customFormat="false" ht="168.75" hidden="false" customHeight="true" outlineLevel="0" collapsed="false">
      <c r="B8" s="37" t="s">
        <v>270</v>
      </c>
      <c r="C8" s="10" t="s">
        <v>271</v>
      </c>
      <c r="D8" s="38" t="s">
        <v>272</v>
      </c>
      <c r="E8" s="25" t="n">
        <v>5800</v>
      </c>
      <c r="F8" s="39" t="n">
        <v>1.85</v>
      </c>
      <c r="G8" s="31" t="n">
        <f aca="false">E8*F8</f>
        <v>10730</v>
      </c>
      <c r="H8" s="33" t="n">
        <v>0</v>
      </c>
      <c r="I8" s="33" t="n">
        <v>1</v>
      </c>
      <c r="J8" s="33" t="n">
        <v>2</v>
      </c>
      <c r="K8" s="31" t="n">
        <f aca="false">G8*I8</f>
        <v>10730</v>
      </c>
      <c r="L8" s="38" t="s">
        <v>273</v>
      </c>
    </row>
    <row r="9" customFormat="false" ht="191.25" hidden="false" customHeight="true" outlineLevel="0" collapsed="false">
      <c r="B9" s="37" t="s">
        <v>274</v>
      </c>
      <c r="C9" s="10" t="s">
        <v>275</v>
      </c>
      <c r="D9" s="38" t="s">
        <v>272</v>
      </c>
      <c r="E9" s="25" t="n">
        <v>2800</v>
      </c>
      <c r="F9" s="39" t="n">
        <v>1.85</v>
      </c>
      <c r="G9" s="31" t="n">
        <f aca="false">E9*F9</f>
        <v>5180</v>
      </c>
      <c r="H9" s="33" t="n">
        <v>1</v>
      </c>
      <c r="I9" s="33" t="n">
        <v>3</v>
      </c>
      <c r="J9" s="33" t="n">
        <v>8</v>
      </c>
      <c r="K9" s="31" t="n">
        <f aca="false">G9*I9</f>
        <v>15540</v>
      </c>
      <c r="L9" s="38" t="s">
        <v>276</v>
      </c>
    </row>
    <row r="10" customFormat="false" ht="202.5" hidden="false" customHeight="true" outlineLevel="0" collapsed="false">
      <c r="B10" s="37" t="s">
        <v>277</v>
      </c>
      <c r="C10" s="10" t="s">
        <v>275</v>
      </c>
      <c r="D10" s="38" t="s">
        <v>272</v>
      </c>
      <c r="E10" s="25" t="n">
        <v>2800</v>
      </c>
      <c r="F10" s="39" t="n">
        <v>1.85</v>
      </c>
      <c r="G10" s="31" t="n">
        <f aca="false">E10*F10</f>
        <v>5180</v>
      </c>
      <c r="H10" s="33" t="n">
        <v>1</v>
      </c>
      <c r="I10" s="33" t="n">
        <v>3</v>
      </c>
      <c r="J10" s="33" t="n">
        <v>8</v>
      </c>
      <c r="K10" s="31" t="n">
        <f aca="false">G10*I10</f>
        <v>15540</v>
      </c>
      <c r="L10" s="38" t="s">
        <v>278</v>
      </c>
    </row>
    <row r="11" customFormat="false" ht="247.5" hidden="false" customHeight="true" outlineLevel="0" collapsed="false">
      <c r="B11" s="37" t="s">
        <v>279</v>
      </c>
      <c r="C11" s="10" t="s">
        <v>280</v>
      </c>
      <c r="D11" s="38" t="s">
        <v>281</v>
      </c>
      <c r="E11" s="25" t="n">
        <v>6000</v>
      </c>
      <c r="F11" s="39" t="n">
        <v>1</v>
      </c>
      <c r="G11" s="31" t="n">
        <f aca="false">E11*F11</f>
        <v>6000</v>
      </c>
      <c r="H11" s="33" t="n">
        <v>1</v>
      </c>
      <c r="I11" s="33" t="n">
        <v>1</v>
      </c>
      <c r="J11" s="33" t="n">
        <v>2</v>
      </c>
      <c r="K11" s="31" t="n">
        <f aca="false">G11*I11</f>
        <v>6000</v>
      </c>
      <c r="L11" s="38" t="s">
        <v>282</v>
      </c>
    </row>
    <row r="12" customFormat="false" ht="225" hidden="false" customHeight="true" outlineLevel="0" collapsed="false">
      <c r="B12" s="37" t="s">
        <v>283</v>
      </c>
      <c r="C12" s="10" t="s">
        <v>284</v>
      </c>
      <c r="D12" s="38" t="s">
        <v>281</v>
      </c>
      <c r="E12" s="25" t="n">
        <v>4000</v>
      </c>
      <c r="F12" s="39" t="n">
        <v>1</v>
      </c>
      <c r="G12" s="31" t="n">
        <f aca="false">E12*F12</f>
        <v>4000</v>
      </c>
      <c r="H12" s="33" t="n">
        <v>0</v>
      </c>
      <c r="I12" s="33" t="n">
        <v>1</v>
      </c>
      <c r="J12" s="33" t="n">
        <v>2</v>
      </c>
      <c r="K12" s="31" t="n">
        <f aca="false">G12*I12</f>
        <v>4000</v>
      </c>
      <c r="L12" s="38" t="s">
        <v>285</v>
      </c>
    </row>
    <row r="13" customFormat="false" ht="191.25" hidden="false" customHeight="true" outlineLevel="0" collapsed="false">
      <c r="B13" s="37" t="s">
        <v>286</v>
      </c>
      <c r="C13" s="10" t="s">
        <v>287</v>
      </c>
      <c r="D13" s="38" t="s">
        <v>288</v>
      </c>
      <c r="E13" s="25" t="n">
        <v>3500</v>
      </c>
      <c r="F13" s="39" t="n">
        <v>1</v>
      </c>
      <c r="G13" s="31" t="n">
        <f aca="false">E13*F13</f>
        <v>3500</v>
      </c>
      <c r="H13" s="33" t="n">
        <v>1</v>
      </c>
      <c r="I13" s="33" t="n">
        <v>1</v>
      </c>
      <c r="J13" s="33" t="n">
        <v>0</v>
      </c>
      <c r="K13" s="31" t="n">
        <f aca="false">G13*I13</f>
        <v>3500</v>
      </c>
      <c r="L13" s="38" t="s">
        <v>289</v>
      </c>
    </row>
    <row r="14" customFormat="false" ht="236.25" hidden="false" customHeight="true" outlineLevel="0" collapsed="false">
      <c r="B14" s="37" t="s">
        <v>290</v>
      </c>
      <c r="C14" s="10" t="s">
        <v>291</v>
      </c>
      <c r="D14" s="38" t="s">
        <v>292</v>
      </c>
      <c r="E14" s="25" t="n">
        <v>0</v>
      </c>
      <c r="F14" s="39" t="n">
        <v>1</v>
      </c>
      <c r="G14" s="31" t="n">
        <f aca="false">E14*F14</f>
        <v>0</v>
      </c>
      <c r="H14" s="33" t="n">
        <v>0</v>
      </c>
      <c r="I14" s="33" t="n">
        <v>1</v>
      </c>
      <c r="J14" s="33" t="n">
        <v>1</v>
      </c>
      <c r="K14" s="31" t="n">
        <f aca="false">G14*I14</f>
        <v>0</v>
      </c>
      <c r="L14" s="38" t="s">
        <v>293</v>
      </c>
    </row>
    <row r="15" customFormat="false" ht="247.5" hidden="false" customHeight="true" outlineLevel="0" collapsed="false">
      <c r="B15" s="37" t="s">
        <v>294</v>
      </c>
      <c r="C15" s="10" t="s">
        <v>295</v>
      </c>
      <c r="D15" s="38" t="s">
        <v>296</v>
      </c>
      <c r="E15" s="25" t="n">
        <v>0</v>
      </c>
      <c r="F15" s="39" t="n">
        <v>1</v>
      </c>
      <c r="G15" s="31" t="n">
        <f aca="false">E15*F15</f>
        <v>0</v>
      </c>
      <c r="H15" s="33" t="n">
        <v>0</v>
      </c>
      <c r="I15" s="33" t="n">
        <v>2</v>
      </c>
      <c r="J15" s="33" t="n">
        <v>5</v>
      </c>
      <c r="K15" s="31" t="n">
        <f aca="false">G15*I15</f>
        <v>0</v>
      </c>
      <c r="L15" s="38" t="s">
        <v>297</v>
      </c>
    </row>
    <row r="16" customFormat="false" ht="15" hidden="false" customHeight="true" outlineLevel="0" collapsed="false">
      <c r="B16" s="40" t="s">
        <v>298</v>
      </c>
      <c r="C16" s="41"/>
      <c r="D16" s="41"/>
      <c r="E16" s="41"/>
      <c r="F16" s="41"/>
      <c r="G16" s="42" t="n">
        <f aca="false">SUMPRODUCT(G6:G15,I6:I15)</f>
        <v>64810</v>
      </c>
      <c r="H16" s="41"/>
      <c r="I16" s="41"/>
      <c r="J16" s="41"/>
      <c r="K16" s="42" t="n">
        <f aca="false">SUM(K6:K15)</f>
        <v>64810</v>
      </c>
      <c r="L16" s="43" t="s">
        <v>299</v>
      </c>
    </row>
    <row r="18" customFormat="false" ht="15" hidden="false" customHeight="true" outlineLevel="0" collapsed="false">
      <c r="B18" s="6" t="s">
        <v>300</v>
      </c>
      <c r="C18" s="6"/>
      <c r="D18" s="6"/>
      <c r="E18" s="6"/>
      <c r="F18" s="6"/>
      <c r="G18" s="6"/>
      <c r="H18" s="6"/>
      <c r="I18" s="6"/>
      <c r="J18" s="6"/>
      <c r="K18" s="6"/>
    </row>
    <row r="19" customFormat="false" ht="135.75" hidden="false" customHeight="true" outlineLevel="0" collapsed="false">
      <c r="B19" s="10" t="s">
        <v>301</v>
      </c>
      <c r="G19" s="25" t="n">
        <v>299</v>
      </c>
      <c r="L19" s="38" t="s">
        <v>302</v>
      </c>
    </row>
    <row r="20" customFormat="false" ht="124.5" hidden="false" customHeight="true" outlineLevel="0" collapsed="false">
      <c r="B20" s="10" t="s">
        <v>303</v>
      </c>
      <c r="G20" s="25" t="n">
        <v>200</v>
      </c>
      <c r="L20" s="38" t="s">
        <v>304</v>
      </c>
    </row>
    <row r="21" customFormat="false" ht="79.5" hidden="false" customHeight="true" outlineLevel="0" collapsed="false">
      <c r="B21" s="10" t="s">
        <v>305</v>
      </c>
      <c r="G21" s="25" t="n">
        <v>150</v>
      </c>
      <c r="L21" s="38" t="s">
        <v>306</v>
      </c>
    </row>
    <row r="22" customFormat="false" ht="45.75" hidden="false" customHeight="true" outlineLevel="0" collapsed="false">
      <c r="B22" s="10" t="s">
        <v>307</v>
      </c>
      <c r="G22" s="25" t="n">
        <v>180</v>
      </c>
      <c r="L22" s="38" t="s">
        <v>106</v>
      </c>
    </row>
    <row r="23" customFormat="false" ht="113.25" hidden="false" customHeight="true" outlineLevel="0" collapsed="false">
      <c r="B23" s="10" t="s">
        <v>308</v>
      </c>
      <c r="G23" s="25" t="n">
        <v>450</v>
      </c>
      <c r="L23" s="38" t="s">
        <v>309</v>
      </c>
    </row>
    <row r="24" customFormat="false" ht="135.75" hidden="false" customHeight="true" outlineLevel="0" collapsed="false">
      <c r="B24" s="10" t="s">
        <v>310</v>
      </c>
      <c r="G24" s="25" t="n">
        <v>1200</v>
      </c>
      <c r="L24" s="38" t="s">
        <v>311</v>
      </c>
    </row>
    <row r="25" customFormat="false" ht="45.75" hidden="false" customHeight="true" outlineLevel="0" collapsed="false">
      <c r="B25" s="10" t="s">
        <v>312</v>
      </c>
      <c r="G25" s="25" t="n">
        <v>800</v>
      </c>
      <c r="L25" s="38" t="s">
        <v>106</v>
      </c>
    </row>
    <row r="26" customFormat="false" ht="180" hidden="false" customHeight="true" outlineLevel="0" collapsed="false">
      <c r="B26" s="10" t="s">
        <v>313</v>
      </c>
      <c r="G26" s="25" t="n">
        <v>24</v>
      </c>
      <c r="L26" s="38" t="s">
        <v>314</v>
      </c>
    </row>
    <row r="27" customFormat="false" ht="45.75" hidden="false" customHeight="true" outlineLevel="0" collapsed="false">
      <c r="B27" s="10" t="s">
        <v>315</v>
      </c>
      <c r="G27" s="25" t="n">
        <v>150</v>
      </c>
      <c r="L27" s="38" t="s">
        <v>106</v>
      </c>
    </row>
    <row r="28" customFormat="false" ht="102" hidden="false" customHeight="true" outlineLevel="0" collapsed="false">
      <c r="B28" s="10" t="s">
        <v>316</v>
      </c>
      <c r="G28" s="25" t="n">
        <v>200</v>
      </c>
      <c r="L28" s="38" t="s">
        <v>317</v>
      </c>
    </row>
    <row r="29" customFormat="false" ht="45.75" hidden="false" customHeight="true" outlineLevel="0" collapsed="false">
      <c r="B29" s="10" t="s">
        <v>318</v>
      </c>
      <c r="G29" s="25" t="n">
        <v>800</v>
      </c>
      <c r="L29" s="38" t="s">
        <v>106</v>
      </c>
    </row>
    <row r="30" customFormat="false" ht="45.75" hidden="false" customHeight="true" outlineLevel="0" collapsed="false">
      <c r="B30" s="10" t="s">
        <v>319</v>
      </c>
      <c r="G30" s="25" t="n">
        <v>1500</v>
      </c>
      <c r="L30" s="38" t="s">
        <v>106</v>
      </c>
    </row>
    <row r="31" customFormat="false" ht="225" hidden="false" customHeight="true" outlineLevel="0" collapsed="false">
      <c r="B31" s="10" t="s">
        <v>320</v>
      </c>
      <c r="G31" s="31" t="n">
        <f aca="false">SUM(G19:G30)*0.15</f>
        <v>892.95</v>
      </c>
      <c r="L31" s="38" t="s">
        <v>321</v>
      </c>
    </row>
    <row r="32" customFormat="false" ht="15" hidden="false" customHeight="true" outlineLevel="0" collapsed="false">
      <c r="B32" s="44" t="s">
        <v>322</v>
      </c>
      <c r="C32" s="41"/>
      <c r="D32" s="41"/>
      <c r="E32" s="41"/>
      <c r="F32" s="41"/>
      <c r="G32" s="42" t="n">
        <f aca="false">SUM(G19:G31)</f>
        <v>6845.95</v>
      </c>
      <c r="H32" s="41"/>
      <c r="I32" s="41"/>
      <c r="J32" s="41"/>
      <c r="K32" s="41"/>
    </row>
    <row r="34" customFormat="false" ht="15" hidden="false" customHeight="true" outlineLevel="0" collapsed="false">
      <c r="B34" s="6" t="s">
        <v>323</v>
      </c>
      <c r="C34" s="6"/>
      <c r="D34" s="6"/>
      <c r="E34" s="6"/>
      <c r="F34" s="6"/>
      <c r="G34" s="6"/>
      <c r="H34" s="6"/>
      <c r="I34" s="6"/>
      <c r="J34" s="6"/>
      <c r="K34" s="6"/>
    </row>
    <row r="35" customFormat="false" ht="180" hidden="false" customHeight="true" outlineLevel="0" collapsed="false">
      <c r="B35" s="10" t="s">
        <v>324</v>
      </c>
      <c r="G35" s="25" t="n">
        <v>6500</v>
      </c>
      <c r="L35" s="38" t="s">
        <v>325</v>
      </c>
    </row>
    <row r="36" customFormat="false" ht="90.75" hidden="false" customHeight="true" outlineLevel="0" collapsed="false">
      <c r="B36" s="10" t="s">
        <v>326</v>
      </c>
      <c r="G36" s="25" t="n">
        <v>21000</v>
      </c>
      <c r="L36" s="38" t="s">
        <v>327</v>
      </c>
    </row>
    <row r="37" customFormat="false" ht="68.25" hidden="false" customHeight="true" outlineLevel="0" collapsed="false">
      <c r="B37" s="10" t="s">
        <v>328</v>
      </c>
      <c r="G37" s="25" t="n">
        <v>6000</v>
      </c>
      <c r="L37" s="38" t="s">
        <v>329</v>
      </c>
    </row>
    <row r="38" customFormat="false" ht="68.25" hidden="false" customHeight="true" outlineLevel="0" collapsed="false">
      <c r="B38" s="10" t="s">
        <v>330</v>
      </c>
      <c r="G38" s="25" t="n">
        <v>3000</v>
      </c>
      <c r="L38" s="38" t="s">
        <v>331</v>
      </c>
    </row>
    <row r="39" customFormat="false" ht="102" hidden="false" customHeight="true" outlineLevel="0" collapsed="false">
      <c r="B39" s="10" t="s">
        <v>332</v>
      </c>
      <c r="G39" s="25" t="n">
        <v>800</v>
      </c>
      <c r="L39" s="38" t="s">
        <v>333</v>
      </c>
    </row>
    <row r="40" customFormat="false" ht="191.25" hidden="false" customHeight="true" outlineLevel="0" collapsed="false">
      <c r="B40" s="10" t="s">
        <v>334</v>
      </c>
      <c r="G40" s="25" t="n">
        <v>7500</v>
      </c>
      <c r="L40" s="38" t="s">
        <v>335</v>
      </c>
    </row>
    <row r="41" customFormat="false" ht="113.25" hidden="false" customHeight="true" outlineLevel="0" collapsed="false">
      <c r="B41" s="10" t="s">
        <v>336</v>
      </c>
      <c r="G41" s="25" t="n">
        <v>3500</v>
      </c>
      <c r="L41" s="38" t="s">
        <v>337</v>
      </c>
    </row>
    <row r="42" customFormat="false" ht="15" hidden="false" customHeight="true" outlineLevel="0" collapsed="false">
      <c r="B42" s="44" t="s">
        <v>338</v>
      </c>
      <c r="C42" s="41"/>
      <c r="D42" s="41"/>
      <c r="E42" s="41"/>
      <c r="F42" s="41"/>
      <c r="G42" s="42" t="n">
        <f aca="false">SUM(G35:G41)</f>
        <v>48300</v>
      </c>
    </row>
    <row r="43" customFormat="false" ht="15" hidden="false" customHeight="true" outlineLevel="0" collapsed="false">
      <c r="B43" s="45" t="s">
        <v>339</v>
      </c>
      <c r="G43" s="31" t="n">
        <f aca="false">G42/24</f>
        <v>2012.5</v>
      </c>
    </row>
    <row r="45" customFormat="false" ht="15" hidden="false" customHeight="true" outlineLevel="0" collapsed="false">
      <c r="B45" s="46" t="s">
        <v>340</v>
      </c>
      <c r="C45" s="46"/>
      <c r="D45" s="46"/>
      <c r="E45" s="46"/>
      <c r="F45" s="46"/>
      <c r="G45" s="42" t="n">
        <f aca="false">K16+G32+G43</f>
        <v>73668.45</v>
      </c>
      <c r="H45" s="41"/>
      <c r="I45" s="41"/>
      <c r="J45" s="41"/>
      <c r="K45" s="41"/>
    </row>
    <row r="47" customFormat="false" ht="15" hidden="false" customHeight="true" outlineLevel="0" collapsed="false">
      <c r="B47" s="47" t="s">
        <v>341</v>
      </c>
      <c r="C47" s="47"/>
      <c r="D47" s="47"/>
      <c r="E47" s="47"/>
      <c r="F47" s="47"/>
      <c r="G47" s="47"/>
      <c r="H47" s="47"/>
      <c r="I47" s="47"/>
      <c r="J47" s="47"/>
      <c r="K47" s="47"/>
    </row>
    <row r="48" customFormat="false" ht="39" hidden="false" customHeight="true" outlineLevel="0" collapsed="false">
      <c r="B48" s="6" t="s">
        <v>342</v>
      </c>
      <c r="C48" s="6" t="s">
        <v>343</v>
      </c>
      <c r="D48" s="6" t="s">
        <v>344</v>
      </c>
      <c r="E48" s="6" t="s">
        <v>345</v>
      </c>
      <c r="F48" s="6" t="s">
        <v>346</v>
      </c>
      <c r="G48" s="6" t="s">
        <v>347</v>
      </c>
      <c r="H48" s="6" t="s">
        <v>348</v>
      </c>
      <c r="I48" s="6" t="s">
        <v>349</v>
      </c>
      <c r="J48" s="6" t="s">
        <v>350</v>
      </c>
    </row>
    <row r="49" customFormat="false" ht="15" hidden="false" customHeight="true" outlineLevel="0" collapsed="false">
      <c r="B49" s="37" t="s">
        <v>351</v>
      </c>
      <c r="C49" s="33" t="n">
        <v>2</v>
      </c>
      <c r="D49" s="33" t="n">
        <v>0</v>
      </c>
      <c r="E49" s="25" t="n">
        <v>6000</v>
      </c>
      <c r="F49" s="25" t="n">
        <v>5000</v>
      </c>
      <c r="G49" s="31" t="n">
        <f aca="false">E49+F49</f>
        <v>11000</v>
      </c>
      <c r="H49" s="33" t="n">
        <v>22</v>
      </c>
      <c r="I49" s="33" t="n">
        <v>22</v>
      </c>
      <c r="J49" s="34" t="n">
        <v>0.75</v>
      </c>
    </row>
    <row r="50" customFormat="false" ht="15" hidden="false" customHeight="true" outlineLevel="0" collapsed="false">
      <c r="B50" s="37" t="s">
        <v>352</v>
      </c>
      <c r="C50" s="33" t="n">
        <v>6</v>
      </c>
      <c r="D50" s="33" t="n">
        <v>1</v>
      </c>
      <c r="E50" s="48" t="n">
        <f aca="false">K16</f>
        <v>64810</v>
      </c>
      <c r="F50" s="48" t="n">
        <f aca="false">G32+G43</f>
        <v>8858.45</v>
      </c>
      <c r="G50" s="31" t="n">
        <f aca="false">E50+F50</f>
        <v>73668.45</v>
      </c>
      <c r="H50" s="33" t="n">
        <v>22</v>
      </c>
      <c r="I50" s="33" t="n">
        <v>50</v>
      </c>
      <c r="J50" s="34" t="n">
        <v>0.8</v>
      </c>
    </row>
    <row r="51" customFormat="false" ht="15" hidden="false" customHeight="true" outlineLevel="0" collapsed="false">
      <c r="B51" s="37" t="s">
        <v>353</v>
      </c>
      <c r="C51" s="33" t="n">
        <v>16</v>
      </c>
      <c r="D51" s="33" t="n">
        <v>2</v>
      </c>
      <c r="E51" s="31" t="n">
        <f aca="false">16*G10+2*G9+G7+G8+G12+G13</f>
        <v>115970</v>
      </c>
      <c r="F51" s="31" t="n">
        <f aca="false">G32*2.5</f>
        <v>17114.875</v>
      </c>
      <c r="G51" s="31" t="n">
        <f aca="false">E51+F51</f>
        <v>133084.875</v>
      </c>
      <c r="H51" s="49" t="n">
        <f aca="false">G51/(1500-529)</f>
        <v>137.059603501545</v>
      </c>
      <c r="I51" s="33" t="n">
        <v>400</v>
      </c>
      <c r="J51" s="34" t="n">
        <v>0.84</v>
      </c>
    </row>
  </sheetData>
  <mergeCells count="6">
    <mergeCell ref="B2:K2"/>
    <mergeCell ref="B3:K3"/>
    <mergeCell ref="B18:K18"/>
    <mergeCell ref="B34:K34"/>
    <mergeCell ref="B45:F45"/>
    <mergeCell ref="B47:K4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J3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3"/>
    <col collapsed="false" customWidth="true" hidden="false" outlineLevel="0" max="2" min="2" style="1" width="40"/>
    <col collapsed="false" customWidth="true" hidden="false" outlineLevel="0" max="9" min="3" style="1" width="14"/>
    <col collapsed="false" customWidth="true" hidden="false" outlineLevel="0" max="10" min="10" style="1" width="38"/>
    <col collapsed="false" customWidth="true" hidden="false" outlineLevel="0" max="11" min="11" style="1" width="3"/>
  </cols>
  <sheetData>
    <row r="2" customFormat="false" ht="19.5" hidden="false" customHeight="true" outlineLevel="0" collapsed="false">
      <c r="B2" s="22" t="s">
        <v>354</v>
      </c>
      <c r="C2" s="22"/>
      <c r="D2" s="22"/>
      <c r="E2" s="22"/>
      <c r="F2" s="22"/>
      <c r="G2" s="22"/>
      <c r="H2" s="22"/>
      <c r="I2" s="22"/>
      <c r="J2" s="22"/>
    </row>
    <row r="3" customFormat="false" ht="15" hidden="false" customHeight="true" outlineLevel="0" collapsed="false">
      <c r="B3" s="23" t="s">
        <v>355</v>
      </c>
      <c r="C3" s="23"/>
      <c r="D3" s="23"/>
      <c r="E3" s="23"/>
      <c r="F3" s="23"/>
      <c r="G3" s="23"/>
      <c r="H3" s="23"/>
      <c r="I3" s="23"/>
      <c r="J3" s="23"/>
    </row>
    <row r="5" customFormat="false" ht="15" hidden="false" customHeight="true" outlineLevel="0" collapsed="false">
      <c r="B5" s="50" t="s">
        <v>356</v>
      </c>
      <c r="C5" s="50"/>
      <c r="D5" s="50"/>
      <c r="E5" s="50"/>
      <c r="F5" s="50"/>
      <c r="G5" s="50"/>
      <c r="H5" s="50"/>
      <c r="I5" s="50"/>
      <c r="J5" s="50"/>
    </row>
    <row r="6" customFormat="false" ht="15" hidden="false" customHeight="true" outlineLevel="0" collapsed="false">
      <c r="B6" s="6" t="s">
        <v>357</v>
      </c>
      <c r="C6" s="6" t="s">
        <v>99</v>
      </c>
      <c r="D6" s="6" t="s">
        <v>100</v>
      </c>
      <c r="E6" s="6"/>
      <c r="F6" s="6"/>
      <c r="G6" s="6"/>
      <c r="H6" s="6"/>
      <c r="I6" s="6"/>
      <c r="J6" s="6" t="s">
        <v>261</v>
      </c>
    </row>
    <row r="7" customFormat="false" ht="15" hidden="false" customHeight="true" outlineLevel="0" collapsed="false">
      <c r="B7" s="10" t="s">
        <v>358</v>
      </c>
      <c r="C7" s="48" t="n">
        <f aca="false">01_Parametros_Mestre!$C$7</f>
        <v>2800</v>
      </c>
      <c r="D7" s="26" t="s">
        <v>106</v>
      </c>
      <c r="J7" s="51" t="s">
        <v>359</v>
      </c>
    </row>
    <row r="8" customFormat="false" ht="15" hidden="false" customHeight="true" outlineLevel="0" collapsed="false">
      <c r="B8" s="10" t="s">
        <v>110</v>
      </c>
      <c r="C8" s="52" t="n">
        <f aca="false">01_Parametros_Mestre!$C$8</f>
        <v>1.85</v>
      </c>
      <c r="D8" s="26" t="s">
        <v>111</v>
      </c>
      <c r="J8" s="51" t="s">
        <v>360</v>
      </c>
    </row>
    <row r="9" customFormat="false" ht="15" hidden="false" customHeight="true" outlineLevel="0" collapsed="false">
      <c r="B9" s="10" t="s">
        <v>361</v>
      </c>
      <c r="C9" s="31" t="n">
        <f aca="false">C7*C8</f>
        <v>5180</v>
      </c>
      <c r="D9" s="26" t="s">
        <v>106</v>
      </c>
      <c r="J9" s="51" t="s">
        <v>362</v>
      </c>
    </row>
    <row r="10" customFormat="false" ht="15" hidden="false" customHeight="true" outlineLevel="0" collapsed="false">
      <c r="B10" s="10" t="s">
        <v>363</v>
      </c>
      <c r="C10" s="53" t="n">
        <f aca="false">01_Parametros_Mestre!$C$10</f>
        <v>140.8</v>
      </c>
      <c r="D10" s="26" t="s">
        <v>118</v>
      </c>
      <c r="J10" s="51" t="s">
        <v>364</v>
      </c>
    </row>
    <row r="11" customFormat="false" ht="15" hidden="false" customHeight="true" outlineLevel="0" collapsed="false">
      <c r="B11" s="10" t="s">
        <v>365</v>
      </c>
      <c r="C11" s="48" t="n">
        <f aca="false">01_Parametros_Mestre!$C$11</f>
        <v>36.79</v>
      </c>
      <c r="D11" s="26" t="s">
        <v>122</v>
      </c>
      <c r="J11" s="51" t="s">
        <v>366</v>
      </c>
    </row>
    <row r="12" customFormat="false" ht="15" hidden="false" customHeight="true" outlineLevel="0" collapsed="false">
      <c r="B12" s="10" t="s">
        <v>367</v>
      </c>
      <c r="C12" s="48" t="n">
        <f aca="false">01_Parametros_Mestre!$C$12</f>
        <v>5800</v>
      </c>
      <c r="D12" s="26" t="s">
        <v>106</v>
      </c>
      <c r="J12" s="51" t="s">
        <v>196</v>
      </c>
    </row>
    <row r="13" customFormat="false" ht="15" hidden="false" customHeight="true" outlineLevel="0" collapsed="false">
      <c r="B13" s="10" t="s">
        <v>368</v>
      </c>
      <c r="C13" s="54" t="n">
        <f aca="false">01_Parametros_Mestre!$C$13</f>
        <v>6</v>
      </c>
      <c r="D13" s="26" t="s">
        <v>129</v>
      </c>
      <c r="J13" s="51" t="s">
        <v>369</v>
      </c>
    </row>
    <row r="14" customFormat="false" ht="15" hidden="false" customHeight="true" outlineLevel="0" collapsed="false">
      <c r="B14" s="10" t="s">
        <v>370</v>
      </c>
      <c r="C14" s="31" t="n">
        <f aca="false">C12/C13</f>
        <v>966.666666666667</v>
      </c>
      <c r="D14" s="26" t="s">
        <v>106</v>
      </c>
      <c r="J14" s="51" t="s">
        <v>362</v>
      </c>
    </row>
    <row r="16" customFormat="false" ht="15" hidden="false" customHeight="true" outlineLevel="0" collapsed="false">
      <c r="B16" s="50" t="s">
        <v>371</v>
      </c>
      <c r="C16" s="50"/>
      <c r="D16" s="50"/>
      <c r="E16" s="50"/>
      <c r="F16" s="50"/>
      <c r="G16" s="50"/>
      <c r="H16" s="50"/>
      <c r="I16" s="50"/>
      <c r="J16" s="50"/>
    </row>
    <row r="17" customFormat="false" ht="39" hidden="false" customHeight="true" outlineLevel="0" collapsed="false">
      <c r="B17" s="6" t="s">
        <v>372</v>
      </c>
      <c r="C17" s="6" t="s">
        <v>373</v>
      </c>
      <c r="D17" s="6" t="s">
        <v>374</v>
      </c>
      <c r="E17" s="6" t="s">
        <v>375</v>
      </c>
      <c r="F17" s="6" t="s">
        <v>376</v>
      </c>
      <c r="G17" s="6" t="s">
        <v>377</v>
      </c>
      <c r="H17" s="6" t="s">
        <v>378</v>
      </c>
      <c r="I17" s="6" t="s">
        <v>379</v>
      </c>
      <c r="J17" s="6" t="s">
        <v>380</v>
      </c>
    </row>
    <row r="18" customFormat="false" ht="15" hidden="false" customHeight="true" outlineLevel="0" collapsed="false">
      <c r="B18" s="10" t="s">
        <v>381</v>
      </c>
      <c r="C18" s="55" t="n">
        <v>14.6</v>
      </c>
      <c r="D18" s="31" t="n">
        <f aca="false">C18*C11</f>
        <v>537.134</v>
      </c>
      <c r="E18" s="56" t="n">
        <f aca="false">C14/(C10/C18)</f>
        <v>100.236742424242</v>
      </c>
      <c r="F18" s="25" t="n">
        <v>20</v>
      </c>
      <c r="G18" s="31" t="n">
        <f aca="false">D18+E18+F18</f>
        <v>657.370742424242</v>
      </c>
      <c r="H18" s="25" t="n">
        <v>1500</v>
      </c>
      <c r="I18" s="31" t="n">
        <f aca="false">H18-G18</f>
        <v>842.629257575758</v>
      </c>
      <c r="J18" s="57" t="n">
        <f aca="false">I18/H18</f>
        <v>0.561752838383838</v>
      </c>
    </row>
    <row r="19" customFormat="false" ht="15" hidden="false" customHeight="true" outlineLevel="0" collapsed="false">
      <c r="B19" s="10" t="s">
        <v>382</v>
      </c>
      <c r="C19" s="55" t="n">
        <v>14.1</v>
      </c>
      <c r="D19" s="31" t="n">
        <f aca="false">C19*C11</f>
        <v>518.739</v>
      </c>
      <c r="E19" s="56" t="n">
        <f aca="false">C14/(C10/C19)</f>
        <v>96.8039772727273</v>
      </c>
      <c r="F19" s="25" t="n">
        <v>20</v>
      </c>
      <c r="G19" s="31" t="n">
        <f aca="false">D19+E19+F19</f>
        <v>635.542977272727</v>
      </c>
      <c r="H19" s="25" t="n">
        <v>1500</v>
      </c>
      <c r="I19" s="31" t="n">
        <f aca="false">H19-G19</f>
        <v>864.457022727273</v>
      </c>
      <c r="J19" s="57" t="n">
        <f aca="false">I19/H19</f>
        <v>0.576304681818182</v>
      </c>
    </row>
    <row r="20" customFormat="false" ht="15" hidden="false" customHeight="true" outlineLevel="0" collapsed="false">
      <c r="B20" s="10" t="s">
        <v>383</v>
      </c>
      <c r="C20" s="55" t="n">
        <v>9.7</v>
      </c>
      <c r="D20" s="31" t="n">
        <f aca="false">C20*C11</f>
        <v>356.863</v>
      </c>
      <c r="E20" s="56" t="n">
        <f aca="false">C14/(C10/C20)</f>
        <v>66.5956439393939</v>
      </c>
      <c r="F20" s="25" t="n">
        <v>15</v>
      </c>
      <c r="G20" s="31" t="n">
        <f aca="false">D20+E20+F20</f>
        <v>438.458643939394</v>
      </c>
      <c r="H20" s="25" t="n">
        <v>1500</v>
      </c>
      <c r="I20" s="31" t="n">
        <f aca="false">H20-G20</f>
        <v>1061.54135606061</v>
      </c>
      <c r="J20" s="57" t="n">
        <f aca="false">I20/H20</f>
        <v>0.707694237373738</v>
      </c>
    </row>
    <row r="21" customFormat="false" ht="15" hidden="false" customHeight="true" outlineLevel="0" collapsed="false">
      <c r="B21" s="10" t="s">
        <v>384</v>
      </c>
      <c r="C21" s="55" t="n">
        <v>15.1</v>
      </c>
      <c r="D21" s="31" t="n">
        <f aca="false">C21*C11</f>
        <v>555.529</v>
      </c>
      <c r="E21" s="56" t="n">
        <f aca="false">C14/(C10/C21)</f>
        <v>103.669507575758</v>
      </c>
      <c r="F21" s="25" t="n">
        <v>25</v>
      </c>
      <c r="G21" s="31" t="n">
        <f aca="false">D21+E21+F21</f>
        <v>684.198507575758</v>
      </c>
      <c r="H21" s="25" t="n">
        <v>1500</v>
      </c>
      <c r="I21" s="31" t="n">
        <f aca="false">H21-G21</f>
        <v>815.801492424243</v>
      </c>
      <c r="J21" s="57" t="n">
        <f aca="false">I21/H21</f>
        <v>0.543867661616162</v>
      </c>
    </row>
    <row r="22" customFormat="false" ht="15" hidden="false" customHeight="true" outlineLevel="0" collapsed="false">
      <c r="B22" s="37" t="s">
        <v>385</v>
      </c>
      <c r="C22" s="55" t="n">
        <v>15</v>
      </c>
      <c r="D22" s="31" t="n">
        <f aca="false">C22*C11</f>
        <v>551.85</v>
      </c>
      <c r="E22" s="56" t="n">
        <f aca="false">C14/(C10/C22)</f>
        <v>102.982954545455</v>
      </c>
      <c r="F22" s="25" t="n">
        <v>20</v>
      </c>
      <c r="G22" s="31" t="n">
        <f aca="false">D22+E22+F22</f>
        <v>674.832954545455</v>
      </c>
      <c r="H22" s="25" t="n">
        <v>1500</v>
      </c>
      <c r="I22" s="31" t="n">
        <f aca="false">H22-G22</f>
        <v>825.167045454546</v>
      </c>
      <c r="J22" s="57" t="n">
        <f aca="false">I22/H22</f>
        <v>0.550111363636364</v>
      </c>
    </row>
    <row r="23" customFormat="false" ht="15" hidden="false" customHeight="true" outlineLevel="0" collapsed="false">
      <c r="B23" s="58" t="s">
        <v>386</v>
      </c>
      <c r="C23" s="55" t="n">
        <v>15</v>
      </c>
      <c r="D23" s="59" t="s">
        <v>387</v>
      </c>
      <c r="E23" s="59" t="s">
        <v>387</v>
      </c>
      <c r="F23" s="59" t="s">
        <v>387</v>
      </c>
      <c r="G23" s="60" t="n">
        <f aca="false">01_Parametros_Mestre!$C$23</f>
        <v>529</v>
      </c>
      <c r="H23" s="25" t="n">
        <v>1500</v>
      </c>
      <c r="I23" s="61" t="n">
        <f aca="false">H23-G23</f>
        <v>971</v>
      </c>
      <c r="J23" s="62" t="n">
        <f aca="false">I23/H23</f>
        <v>0.647333333333333</v>
      </c>
    </row>
    <row r="25" customFormat="false" ht="15" hidden="false" customHeight="true" outlineLevel="0" collapsed="false">
      <c r="B25" s="63" t="s">
        <v>388</v>
      </c>
      <c r="C25" s="63"/>
      <c r="D25" s="63"/>
      <c r="E25" s="63"/>
      <c r="F25" s="63"/>
      <c r="G25" s="63"/>
      <c r="H25" s="63"/>
      <c r="I25" s="63"/>
      <c r="J25" s="63"/>
    </row>
    <row r="26" customFormat="false" ht="15" hidden="false" customHeight="true" outlineLevel="0" collapsed="false">
      <c r="B26" s="8" t="s">
        <v>389</v>
      </c>
      <c r="C26" s="8"/>
      <c r="D26" s="8"/>
      <c r="E26" s="8"/>
      <c r="F26" s="8"/>
      <c r="G26" s="8"/>
      <c r="H26" s="8"/>
      <c r="I26" s="8"/>
      <c r="J26" s="8"/>
    </row>
    <row r="27" customFormat="false" ht="15" hidden="false" customHeight="true" outlineLevel="0" collapsed="false">
      <c r="B27" s="8" t="s">
        <v>390</v>
      </c>
      <c r="C27" s="8"/>
      <c r="D27" s="8"/>
      <c r="E27" s="8"/>
      <c r="F27" s="8"/>
      <c r="G27" s="8"/>
      <c r="H27" s="8"/>
      <c r="I27" s="8"/>
      <c r="J27" s="8"/>
    </row>
    <row r="28" customFormat="false" ht="15" hidden="false" customHeight="true" outlineLevel="0" collapsed="false">
      <c r="B28" s="8" t="s">
        <v>391</v>
      </c>
      <c r="C28" s="8"/>
      <c r="D28" s="8"/>
      <c r="E28" s="8"/>
      <c r="F28" s="8"/>
      <c r="G28" s="8"/>
      <c r="H28" s="8"/>
      <c r="I28" s="8"/>
      <c r="J28" s="8"/>
    </row>
    <row r="29" customFormat="false" ht="15" hidden="false" customHeight="true" outlineLevel="0" collapsed="false">
      <c r="B29" s="8" t="s">
        <v>392</v>
      </c>
      <c r="C29" s="8"/>
      <c r="D29" s="8"/>
      <c r="E29" s="8"/>
      <c r="F29" s="8"/>
      <c r="G29" s="8"/>
      <c r="H29" s="8"/>
      <c r="I29" s="8"/>
      <c r="J29" s="8"/>
    </row>
    <row r="32" customFormat="false" ht="15" hidden="false" customHeight="true" outlineLevel="0" collapsed="false">
      <c r="B32" s="50" t="s">
        <v>393</v>
      </c>
      <c r="C32" s="50"/>
      <c r="D32" s="50"/>
      <c r="E32" s="50"/>
      <c r="F32" s="50"/>
      <c r="G32" s="50"/>
      <c r="H32" s="50"/>
      <c r="I32" s="50"/>
      <c r="J32" s="50"/>
    </row>
    <row r="33" customFormat="false" ht="15" hidden="false" customHeight="true" outlineLevel="0" collapsed="false">
      <c r="B33" s="6" t="s">
        <v>357</v>
      </c>
      <c r="C33" s="6" t="s">
        <v>394</v>
      </c>
      <c r="D33" s="6" t="s">
        <v>395</v>
      </c>
      <c r="E33" s="6" t="s">
        <v>396</v>
      </c>
      <c r="F33" s="6"/>
      <c r="G33" s="6"/>
      <c r="H33" s="6"/>
      <c r="I33" s="6"/>
      <c r="J33" s="6" t="s">
        <v>261</v>
      </c>
    </row>
    <row r="34" customFormat="false" ht="15" hidden="false" customHeight="true" outlineLevel="0" collapsed="false">
      <c r="B34" s="10" t="s">
        <v>397</v>
      </c>
      <c r="C34" s="31" t="n">
        <f aca="false">15*C11</f>
        <v>551.85</v>
      </c>
      <c r="D34" s="31" t="n">
        <f aca="false">C34</f>
        <v>551.85</v>
      </c>
      <c r="E34" s="64" t="n">
        <f aca="false">D34/$D$39</f>
        <v>0.737932176759212</v>
      </c>
      <c r="J34" s="51" t="s">
        <v>398</v>
      </c>
    </row>
    <row r="35" customFormat="false" ht="15" hidden="false" customHeight="true" outlineLevel="0" collapsed="false">
      <c r="B35" s="10" t="s">
        <v>399</v>
      </c>
      <c r="C35" s="31" t="n">
        <f aca="false">(C14/(C10/15))</f>
        <v>102.982954545455</v>
      </c>
      <c r="D35" s="31" t="n">
        <f aca="false">C35</f>
        <v>102.982954545455</v>
      </c>
      <c r="E35" s="64" t="n">
        <f aca="false">D35/$D$39</f>
        <v>0.13770850016639</v>
      </c>
      <c r="J35" s="51" t="s">
        <v>400</v>
      </c>
    </row>
    <row r="36" customFormat="false" ht="15" hidden="false" customHeight="true" outlineLevel="0" collapsed="false">
      <c r="B36" s="10" t="s">
        <v>401</v>
      </c>
      <c r="C36" s="65" t="s">
        <v>402</v>
      </c>
      <c r="D36" s="25" t="n">
        <v>35</v>
      </c>
      <c r="E36" s="64" t="n">
        <f aca="false">D36/$D$39</f>
        <v>0.0468018957806875</v>
      </c>
      <c r="J36" s="51" t="s">
        <v>403</v>
      </c>
    </row>
    <row r="37" customFormat="false" ht="15" hidden="false" customHeight="true" outlineLevel="0" collapsed="false">
      <c r="B37" s="10" t="s">
        <v>404</v>
      </c>
      <c r="C37" s="65" t="s">
        <v>402</v>
      </c>
      <c r="D37" s="25" t="n">
        <v>28</v>
      </c>
      <c r="E37" s="64" t="n">
        <f aca="false">D37/$D$39</f>
        <v>0.03744151662455</v>
      </c>
      <c r="J37" s="51" t="s">
        <v>405</v>
      </c>
    </row>
    <row r="38" customFormat="false" ht="15" hidden="false" customHeight="true" outlineLevel="0" collapsed="false">
      <c r="B38" s="10" t="s">
        <v>406</v>
      </c>
      <c r="C38" s="65" t="s">
        <v>402</v>
      </c>
      <c r="D38" s="25" t="n">
        <v>30</v>
      </c>
      <c r="E38" s="64" t="n">
        <f aca="false">D38/$D$39</f>
        <v>0.0401159106691607</v>
      </c>
      <c r="J38" s="51" t="s">
        <v>407</v>
      </c>
    </row>
    <row r="39" customFormat="false" ht="15" hidden="false" customHeight="true" outlineLevel="0" collapsed="false">
      <c r="B39" s="44" t="s">
        <v>408</v>
      </c>
      <c r="C39" s="41"/>
      <c r="D39" s="42" t="n">
        <f aca="false">SUM(D34:D38)</f>
        <v>747.832954545455</v>
      </c>
      <c r="E39" s="66" t="n">
        <v>1</v>
      </c>
      <c r="F39" s="41"/>
      <c r="G39" s="41"/>
      <c r="H39" s="41"/>
      <c r="I39" s="41"/>
      <c r="J39" s="43" t="s">
        <v>409</v>
      </c>
    </row>
  </sheetData>
  <mergeCells count="10">
    <mergeCell ref="B2:J2"/>
    <mergeCell ref="B3:J3"/>
    <mergeCell ref="B5:J5"/>
    <mergeCell ref="B16:J16"/>
    <mergeCell ref="B25:J25"/>
    <mergeCell ref="B26:J26"/>
    <mergeCell ref="B27:J27"/>
    <mergeCell ref="B28:J28"/>
    <mergeCell ref="B29:J29"/>
    <mergeCell ref="B32:J3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K4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3"/>
    <col collapsed="false" customWidth="true" hidden="false" outlineLevel="0" max="2" min="2" style="1" width="6"/>
    <col collapsed="false" customWidth="true" hidden="false" outlineLevel="0" max="3" min="3" style="1" width="8"/>
    <col collapsed="false" customWidth="true" hidden="false" outlineLevel="0" max="4" min="4" style="1" width="38"/>
    <col collapsed="false" customWidth="true" hidden="false" outlineLevel="0" max="5" min="5" style="1" width="16"/>
    <col collapsed="false" customWidth="true" hidden="false" outlineLevel="0" max="8" min="6" style="1" width="11"/>
    <col collapsed="false" customWidth="true" hidden="false" outlineLevel="0" max="10" min="9" style="1" width="14"/>
    <col collapsed="false" customWidth="true" hidden="false" outlineLevel="0" max="11" min="11" style="1" width="34"/>
    <col collapsed="false" customWidth="true" hidden="false" outlineLevel="0" max="12" min="12" style="1" width="3"/>
  </cols>
  <sheetData>
    <row r="2" customFormat="false" ht="19.5" hidden="false" customHeight="true" outlineLevel="0" collapsed="false">
      <c r="B2" s="22" t="s">
        <v>410</v>
      </c>
      <c r="C2" s="22"/>
      <c r="D2" s="22"/>
      <c r="E2" s="22"/>
      <c r="F2" s="22"/>
      <c r="G2" s="22"/>
      <c r="H2" s="22"/>
      <c r="I2" s="22"/>
      <c r="J2" s="22"/>
      <c r="K2" s="22"/>
    </row>
    <row r="3" customFormat="false" ht="15" hidden="false" customHeight="true" outlineLevel="0" collapsed="false">
      <c r="B3" s="23" t="s">
        <v>411</v>
      </c>
      <c r="C3" s="23"/>
      <c r="D3" s="23"/>
      <c r="E3" s="23"/>
      <c r="F3" s="23"/>
      <c r="G3" s="23"/>
      <c r="H3" s="23"/>
      <c r="I3" s="23"/>
      <c r="J3" s="23"/>
      <c r="K3" s="23"/>
    </row>
    <row r="5" customFormat="false" ht="26.25" hidden="false" customHeight="true" outlineLevel="0" collapsed="false">
      <c r="B5" s="6" t="s">
        <v>412</v>
      </c>
      <c r="C5" s="6" t="s">
        <v>413</v>
      </c>
      <c r="D5" s="6" t="s">
        <v>414</v>
      </c>
      <c r="E5" s="6" t="s">
        <v>415</v>
      </c>
      <c r="F5" s="6" t="s">
        <v>416</v>
      </c>
      <c r="G5" s="6" t="s">
        <v>417</v>
      </c>
      <c r="H5" s="6" t="s">
        <v>418</v>
      </c>
      <c r="I5" s="6" t="s">
        <v>419</v>
      </c>
      <c r="J5" s="6" t="s">
        <v>420</v>
      </c>
      <c r="K5" s="6" t="s">
        <v>421</v>
      </c>
    </row>
    <row r="6" customFormat="false" ht="23.25" hidden="false" customHeight="true" outlineLevel="0" collapsed="false">
      <c r="B6" s="67" t="s">
        <v>422</v>
      </c>
      <c r="C6" s="68" t="s">
        <v>423</v>
      </c>
      <c r="D6" s="10" t="s">
        <v>424</v>
      </c>
      <c r="E6" s="38" t="s">
        <v>425</v>
      </c>
      <c r="F6" s="33" t="n">
        <v>1</v>
      </c>
      <c r="G6" s="33" t="n">
        <v>1</v>
      </c>
      <c r="H6" s="55" t="n">
        <v>1</v>
      </c>
      <c r="I6" s="69" t="s">
        <v>426</v>
      </c>
      <c r="J6" s="69" t="s">
        <v>426</v>
      </c>
      <c r="K6" s="51" t="s">
        <v>427</v>
      </c>
    </row>
    <row r="7" customFormat="false" ht="15" hidden="false" customHeight="true" outlineLevel="0" collapsed="false">
      <c r="B7" s="67" t="s">
        <v>428</v>
      </c>
      <c r="C7" s="68" t="s">
        <v>423</v>
      </c>
      <c r="D7" s="10" t="s">
        <v>429</v>
      </c>
      <c r="E7" s="38" t="s">
        <v>430</v>
      </c>
      <c r="F7" s="33" t="n">
        <v>3</v>
      </c>
      <c r="G7" s="33" t="n">
        <v>3</v>
      </c>
      <c r="H7" s="55" t="n">
        <v>1</v>
      </c>
      <c r="I7" s="56" t="n">
        <f aca="false">F7/60*01_Parametros_Mestre!$C$11</f>
        <v>1.8395</v>
      </c>
      <c r="J7" s="56" t="n">
        <f aca="false">G7/60*01_Parametros_Mestre!$C$11</f>
        <v>1.8395</v>
      </c>
      <c r="K7" s="51" t="s">
        <v>431</v>
      </c>
    </row>
    <row r="8" customFormat="false" ht="23.25" hidden="false" customHeight="true" outlineLevel="0" collapsed="false">
      <c r="B8" s="67" t="s">
        <v>432</v>
      </c>
      <c r="C8" s="70" t="s">
        <v>433</v>
      </c>
      <c r="D8" s="10" t="s">
        <v>434</v>
      </c>
      <c r="E8" s="38" t="s">
        <v>430</v>
      </c>
      <c r="F8" s="33" t="n">
        <v>45</v>
      </c>
      <c r="G8" s="33" t="n">
        <v>45</v>
      </c>
      <c r="H8" s="55" t="n">
        <v>1.8</v>
      </c>
      <c r="I8" s="56" t="n">
        <f aca="false">F8/60*01_Parametros_Mestre!$C$11</f>
        <v>27.5925</v>
      </c>
      <c r="J8" s="56" t="n">
        <f aca="false">G8/60*01_Parametros_Mestre!$C$11</f>
        <v>27.5925</v>
      </c>
      <c r="K8" s="51" t="s">
        <v>435</v>
      </c>
    </row>
    <row r="9" customFormat="false" ht="15" hidden="false" customHeight="true" outlineLevel="0" collapsed="false">
      <c r="B9" s="67" t="s">
        <v>436</v>
      </c>
      <c r="C9" s="70" t="s">
        <v>433</v>
      </c>
      <c r="D9" s="10" t="s">
        <v>437</v>
      </c>
      <c r="E9" s="38" t="s">
        <v>430</v>
      </c>
      <c r="F9" s="33" t="n">
        <v>39</v>
      </c>
      <c r="G9" s="33" t="n">
        <v>30</v>
      </c>
      <c r="H9" s="55" t="n">
        <v>2.5</v>
      </c>
      <c r="I9" s="56" t="n">
        <f aca="false">F9/60*01_Parametros_Mestre!$C$11</f>
        <v>23.9135</v>
      </c>
      <c r="J9" s="56" t="n">
        <f aca="false">G9/60*01_Parametros_Mestre!$C$11</f>
        <v>18.395</v>
      </c>
      <c r="K9" s="51" t="s">
        <v>438</v>
      </c>
    </row>
    <row r="10" customFormat="false" ht="23.25" hidden="false" customHeight="true" outlineLevel="0" collapsed="false">
      <c r="B10" s="67" t="s">
        <v>439</v>
      </c>
      <c r="C10" s="70" t="s">
        <v>433</v>
      </c>
      <c r="D10" s="10" t="s">
        <v>440</v>
      </c>
      <c r="E10" s="38" t="s">
        <v>430</v>
      </c>
      <c r="F10" s="33" t="n">
        <v>40</v>
      </c>
      <c r="G10" s="33" t="n">
        <v>30</v>
      </c>
      <c r="H10" s="55" t="n">
        <v>2</v>
      </c>
      <c r="I10" s="56" t="n">
        <f aca="false">F10/60*01_Parametros_Mestre!$C$11</f>
        <v>24.5266666666667</v>
      </c>
      <c r="J10" s="56" t="n">
        <f aca="false">G10/60*01_Parametros_Mestre!$C$11</f>
        <v>18.395</v>
      </c>
      <c r="K10" s="51" t="s">
        <v>441</v>
      </c>
    </row>
    <row r="11" customFormat="false" ht="15" hidden="false" customHeight="true" outlineLevel="0" collapsed="false">
      <c r="B11" s="67" t="s">
        <v>442</v>
      </c>
      <c r="C11" s="70" t="s">
        <v>433</v>
      </c>
      <c r="D11" s="10" t="s">
        <v>443</v>
      </c>
      <c r="E11" s="38" t="s">
        <v>444</v>
      </c>
      <c r="F11" s="33" t="n">
        <v>107</v>
      </c>
      <c r="G11" s="33" t="n">
        <v>75</v>
      </c>
      <c r="H11" s="55" t="n">
        <v>3</v>
      </c>
      <c r="I11" s="56" t="n">
        <f aca="false">F11/60*01_Parametros_Mestre!$C$11</f>
        <v>65.6088333333333</v>
      </c>
      <c r="J11" s="56" t="n">
        <f aca="false">G11/60*01_Parametros_Mestre!$C$11</f>
        <v>45.9875</v>
      </c>
      <c r="K11" s="51" t="s">
        <v>445</v>
      </c>
    </row>
    <row r="12" customFormat="false" ht="15" hidden="false" customHeight="true" outlineLevel="0" collapsed="false">
      <c r="B12" s="67" t="s">
        <v>446</v>
      </c>
      <c r="C12" s="71" t="s">
        <v>447</v>
      </c>
      <c r="D12" s="10" t="s">
        <v>448</v>
      </c>
      <c r="E12" s="38" t="s">
        <v>444</v>
      </c>
      <c r="F12" s="33" t="n">
        <v>67</v>
      </c>
      <c r="G12" s="33" t="n">
        <v>60</v>
      </c>
      <c r="H12" s="55" t="n">
        <v>4</v>
      </c>
      <c r="I12" s="56" t="n">
        <f aca="false">F12/60*01_Parametros_Mestre!$C$11</f>
        <v>41.0821666666667</v>
      </c>
      <c r="J12" s="56" t="n">
        <f aca="false">G12/60*01_Parametros_Mestre!$C$11</f>
        <v>36.79</v>
      </c>
      <c r="K12" s="51" t="s">
        <v>449</v>
      </c>
    </row>
    <row r="13" customFormat="false" ht="15" hidden="false" customHeight="true" outlineLevel="0" collapsed="false">
      <c r="B13" s="67" t="s">
        <v>450</v>
      </c>
      <c r="C13" s="71" t="s">
        <v>447</v>
      </c>
      <c r="D13" s="10" t="s">
        <v>451</v>
      </c>
      <c r="E13" s="38" t="s">
        <v>452</v>
      </c>
      <c r="F13" s="33" t="n">
        <v>59</v>
      </c>
      <c r="G13" s="33" t="n">
        <v>50</v>
      </c>
      <c r="H13" s="55" t="n">
        <v>5</v>
      </c>
      <c r="I13" s="56" t="n">
        <f aca="false">F13/60*01_Parametros_Mestre!$C$11</f>
        <v>36.1768333333333</v>
      </c>
      <c r="J13" s="56" t="n">
        <f aca="false">G13/60*01_Parametros_Mestre!$C$11</f>
        <v>30.6583333333333</v>
      </c>
      <c r="K13" s="51" t="s">
        <v>453</v>
      </c>
    </row>
    <row r="14" customFormat="false" ht="15" hidden="false" customHeight="true" outlineLevel="0" collapsed="false">
      <c r="B14" s="67" t="s">
        <v>454</v>
      </c>
      <c r="C14" s="71" t="s">
        <v>447</v>
      </c>
      <c r="D14" s="10" t="s">
        <v>455</v>
      </c>
      <c r="E14" s="38" t="s">
        <v>430</v>
      </c>
      <c r="F14" s="33" t="n">
        <v>13</v>
      </c>
      <c r="G14" s="33" t="n">
        <v>12</v>
      </c>
      <c r="H14" s="55" t="n">
        <v>1</v>
      </c>
      <c r="I14" s="56" t="n">
        <f aca="false">F14/60*01_Parametros_Mestre!$C$11</f>
        <v>7.97116666666667</v>
      </c>
      <c r="J14" s="56" t="n">
        <f aca="false">G14/60*01_Parametros_Mestre!$C$11</f>
        <v>7.358</v>
      </c>
      <c r="K14" s="51" t="s">
        <v>456</v>
      </c>
    </row>
    <row r="15" customFormat="false" ht="15" hidden="false" customHeight="true" outlineLevel="0" collapsed="false">
      <c r="B15" s="67" t="s">
        <v>457</v>
      </c>
      <c r="C15" s="71" t="s">
        <v>447</v>
      </c>
      <c r="D15" s="10" t="s">
        <v>458</v>
      </c>
      <c r="E15" s="38" t="s">
        <v>459</v>
      </c>
      <c r="F15" s="33" t="n">
        <v>21</v>
      </c>
      <c r="G15" s="33" t="n">
        <v>15</v>
      </c>
      <c r="H15" s="55" t="n">
        <v>1</v>
      </c>
      <c r="I15" s="56" t="n">
        <f aca="false">F15/60*01_Parametros_Mestre!$C$11</f>
        <v>12.8765</v>
      </c>
      <c r="J15" s="56" t="n">
        <f aca="false">G15/60*01_Parametros_Mestre!$C$11</f>
        <v>9.1975</v>
      </c>
      <c r="K15" s="51" t="s">
        <v>460</v>
      </c>
    </row>
    <row r="16" customFormat="false" ht="15" hidden="false" customHeight="true" outlineLevel="0" collapsed="false">
      <c r="B16" s="67" t="s">
        <v>461</v>
      </c>
      <c r="C16" s="71" t="s">
        <v>447</v>
      </c>
      <c r="D16" s="10" t="s">
        <v>462</v>
      </c>
      <c r="E16" s="38" t="s">
        <v>430</v>
      </c>
      <c r="F16" s="33" t="n">
        <v>30</v>
      </c>
      <c r="G16" s="33" t="n">
        <v>40</v>
      </c>
      <c r="H16" s="55" t="n">
        <v>2</v>
      </c>
      <c r="I16" s="56" t="n">
        <f aca="false">F16/60*01_Parametros_Mestre!$C$11</f>
        <v>18.395</v>
      </c>
      <c r="J16" s="56" t="n">
        <f aca="false">G16/60*01_Parametros_Mestre!$C$11</f>
        <v>24.5266666666667</v>
      </c>
      <c r="K16" s="51" t="s">
        <v>435</v>
      </c>
    </row>
    <row r="17" customFormat="false" ht="23.25" hidden="false" customHeight="true" outlineLevel="0" collapsed="false">
      <c r="B17" s="67" t="s">
        <v>463</v>
      </c>
      <c r="C17" s="72" t="s">
        <v>464</v>
      </c>
      <c r="D17" s="10" t="s">
        <v>465</v>
      </c>
      <c r="E17" s="38" t="s">
        <v>430</v>
      </c>
      <c r="F17" s="33" t="n">
        <v>38</v>
      </c>
      <c r="G17" s="33" t="n">
        <v>25</v>
      </c>
      <c r="H17" s="55" t="n">
        <v>2.5</v>
      </c>
      <c r="I17" s="56" t="n">
        <f aca="false">F17/60*01_Parametros_Mestre!$C$11</f>
        <v>23.3003333333333</v>
      </c>
      <c r="J17" s="56" t="n">
        <f aca="false">G17/60*01_Parametros_Mestre!$C$11</f>
        <v>15.3291666666667</v>
      </c>
      <c r="K17" s="51" t="s">
        <v>441</v>
      </c>
    </row>
    <row r="18" customFormat="false" ht="15" hidden="false" customHeight="true" outlineLevel="0" collapsed="false">
      <c r="B18" s="67" t="s">
        <v>466</v>
      </c>
      <c r="C18" s="72" t="s">
        <v>464</v>
      </c>
      <c r="D18" s="10" t="s">
        <v>467</v>
      </c>
      <c r="E18" s="38" t="s">
        <v>468</v>
      </c>
      <c r="F18" s="33" t="n">
        <v>0</v>
      </c>
      <c r="G18" s="33" t="n">
        <v>0</v>
      </c>
      <c r="H18" s="55" t="n">
        <v>0</v>
      </c>
      <c r="I18" s="56" t="n">
        <f aca="false">F18/60*01_Parametros_Mestre!$C$11</f>
        <v>0</v>
      </c>
      <c r="J18" s="56" t="n">
        <f aca="false">G18/60*01_Parametros_Mestre!$C$11</f>
        <v>0</v>
      </c>
      <c r="K18" s="51" t="s">
        <v>469</v>
      </c>
    </row>
    <row r="19" customFormat="false" ht="15" hidden="false" customHeight="true" outlineLevel="0" collapsed="false">
      <c r="B19" s="67" t="s">
        <v>470</v>
      </c>
      <c r="C19" s="72" t="s">
        <v>464</v>
      </c>
      <c r="D19" s="10" t="s">
        <v>471</v>
      </c>
      <c r="E19" s="38" t="s">
        <v>430</v>
      </c>
      <c r="F19" s="33" t="n">
        <v>12</v>
      </c>
      <c r="G19" s="33" t="n">
        <v>12</v>
      </c>
      <c r="H19" s="55" t="n">
        <v>1.5</v>
      </c>
      <c r="I19" s="56" t="n">
        <f aca="false">F19/60*01_Parametros_Mestre!$C$11</f>
        <v>7.358</v>
      </c>
      <c r="J19" s="56" t="n">
        <f aca="false">G19/60*01_Parametros_Mestre!$C$11</f>
        <v>7.358</v>
      </c>
      <c r="K19" s="51" t="s">
        <v>472</v>
      </c>
    </row>
    <row r="20" customFormat="false" ht="15" hidden="false" customHeight="true" outlineLevel="0" collapsed="false">
      <c r="B20" s="67" t="s">
        <v>473</v>
      </c>
      <c r="C20" s="72" t="s">
        <v>464</v>
      </c>
      <c r="D20" s="10" t="s">
        <v>474</v>
      </c>
      <c r="E20" s="38" t="s">
        <v>430</v>
      </c>
      <c r="F20" s="33" t="n">
        <v>20</v>
      </c>
      <c r="G20" s="33" t="n">
        <v>0</v>
      </c>
      <c r="H20" s="55" t="n">
        <v>2</v>
      </c>
      <c r="I20" s="56" t="n">
        <f aca="false">F20/60*01_Parametros_Mestre!$C$11</f>
        <v>12.2633333333333</v>
      </c>
      <c r="J20" s="56" t="n">
        <f aca="false">G20/60*01_Parametros_Mestre!$C$11</f>
        <v>0</v>
      </c>
      <c r="K20" s="51" t="s">
        <v>441</v>
      </c>
    </row>
    <row r="21" customFormat="false" ht="15" hidden="false" customHeight="true" outlineLevel="0" collapsed="false">
      <c r="B21" s="67" t="s">
        <v>475</v>
      </c>
      <c r="C21" s="72" t="s">
        <v>464</v>
      </c>
      <c r="D21" s="10" t="s">
        <v>476</v>
      </c>
      <c r="E21" s="38" t="s">
        <v>444</v>
      </c>
      <c r="F21" s="33" t="n">
        <v>91</v>
      </c>
      <c r="G21" s="33" t="n">
        <v>0</v>
      </c>
      <c r="H21" s="55" t="n">
        <v>3</v>
      </c>
      <c r="I21" s="56" t="n">
        <f aca="false">F21/60*01_Parametros_Mestre!$C$11</f>
        <v>55.7981666666667</v>
      </c>
      <c r="J21" s="56" t="n">
        <f aca="false">G21/60*01_Parametros_Mestre!$C$11</f>
        <v>0</v>
      </c>
      <c r="K21" s="51" t="s">
        <v>438</v>
      </c>
    </row>
    <row r="22" customFormat="false" ht="15" hidden="false" customHeight="true" outlineLevel="0" collapsed="false">
      <c r="B22" s="67" t="s">
        <v>477</v>
      </c>
      <c r="C22" s="72" t="s">
        <v>464</v>
      </c>
      <c r="D22" s="10" t="s">
        <v>478</v>
      </c>
      <c r="E22" s="38" t="s">
        <v>430</v>
      </c>
      <c r="F22" s="33" t="n">
        <v>0</v>
      </c>
      <c r="G22" s="33" t="n">
        <v>100</v>
      </c>
      <c r="H22" s="55" t="n">
        <v>2.5</v>
      </c>
      <c r="I22" s="56" t="n">
        <f aca="false">F22/60*01_Parametros_Mestre!$C$11</f>
        <v>0</v>
      </c>
      <c r="J22" s="56" t="n">
        <f aca="false">G22/60*01_Parametros_Mestre!$C$11</f>
        <v>61.3166666666667</v>
      </c>
      <c r="K22" s="51" t="s">
        <v>479</v>
      </c>
    </row>
    <row r="23" customFormat="false" ht="15" hidden="false" customHeight="true" outlineLevel="0" collapsed="false">
      <c r="B23" s="67" t="s">
        <v>480</v>
      </c>
      <c r="C23" s="72" t="s">
        <v>464</v>
      </c>
      <c r="D23" s="10" t="s">
        <v>481</v>
      </c>
      <c r="E23" s="38" t="s">
        <v>459</v>
      </c>
      <c r="F23" s="33" t="n">
        <v>26</v>
      </c>
      <c r="G23" s="33" t="n">
        <v>30</v>
      </c>
      <c r="H23" s="55" t="n">
        <v>1</v>
      </c>
      <c r="I23" s="56" t="n">
        <f aca="false">F23/60*01_Parametros_Mestre!$C$11</f>
        <v>15.9423333333333</v>
      </c>
      <c r="J23" s="56" t="n">
        <f aca="false">G23/60*01_Parametros_Mestre!$C$11</f>
        <v>18.395</v>
      </c>
      <c r="K23" s="51" t="s">
        <v>482</v>
      </c>
    </row>
    <row r="24" customFormat="false" ht="15" hidden="false" customHeight="true" outlineLevel="0" collapsed="false">
      <c r="B24" s="67" t="s">
        <v>483</v>
      </c>
      <c r="C24" s="72" t="s">
        <v>464</v>
      </c>
      <c r="D24" s="10" t="s">
        <v>484</v>
      </c>
      <c r="E24" s="38" t="s">
        <v>430</v>
      </c>
      <c r="F24" s="33" t="n">
        <v>15</v>
      </c>
      <c r="G24" s="33" t="n">
        <v>18</v>
      </c>
      <c r="H24" s="55" t="n">
        <v>1</v>
      </c>
      <c r="I24" s="56" t="n">
        <f aca="false">F24/60*01_Parametros_Mestre!$C$11</f>
        <v>9.1975</v>
      </c>
      <c r="J24" s="56" t="n">
        <f aca="false">G24/60*01_Parametros_Mestre!$C$11</f>
        <v>11.037</v>
      </c>
      <c r="K24" s="51" t="s">
        <v>485</v>
      </c>
    </row>
    <row r="25" customFormat="false" ht="15" hidden="false" customHeight="true" outlineLevel="0" collapsed="false">
      <c r="B25" s="67" t="s">
        <v>486</v>
      </c>
      <c r="C25" s="73" t="s">
        <v>487</v>
      </c>
      <c r="D25" s="10" t="s">
        <v>488</v>
      </c>
      <c r="E25" s="38" t="s">
        <v>444</v>
      </c>
      <c r="F25" s="33" t="n">
        <v>38</v>
      </c>
      <c r="G25" s="33" t="n">
        <v>35</v>
      </c>
      <c r="H25" s="55" t="n">
        <v>3.5</v>
      </c>
      <c r="I25" s="56" t="n">
        <f aca="false">F25/60*01_Parametros_Mestre!$C$11</f>
        <v>23.3003333333333</v>
      </c>
      <c r="J25" s="56" t="n">
        <f aca="false">G25/60*01_Parametros_Mestre!$C$11</f>
        <v>21.4608333333333</v>
      </c>
      <c r="K25" s="51" t="s">
        <v>489</v>
      </c>
    </row>
    <row r="26" customFormat="false" ht="15" hidden="false" customHeight="true" outlineLevel="0" collapsed="false">
      <c r="B26" s="67" t="s">
        <v>490</v>
      </c>
      <c r="C26" s="73" t="s">
        <v>487</v>
      </c>
      <c r="D26" s="10" t="s">
        <v>491</v>
      </c>
      <c r="E26" s="38" t="s">
        <v>430</v>
      </c>
      <c r="F26" s="33" t="n">
        <v>16</v>
      </c>
      <c r="G26" s="33" t="n">
        <v>18</v>
      </c>
      <c r="H26" s="55" t="n">
        <v>1</v>
      </c>
      <c r="I26" s="56" t="n">
        <f aca="false">F26/60*01_Parametros_Mestre!$C$11</f>
        <v>9.81066666666667</v>
      </c>
      <c r="J26" s="56" t="n">
        <f aca="false">G26/60*01_Parametros_Mestre!$C$11</f>
        <v>11.037</v>
      </c>
      <c r="K26" s="51" t="s">
        <v>492</v>
      </c>
    </row>
    <row r="27" customFormat="false" ht="15" hidden="false" customHeight="true" outlineLevel="0" collapsed="false">
      <c r="B27" s="67" t="s">
        <v>493</v>
      </c>
      <c r="C27" s="73" t="s">
        <v>487</v>
      </c>
      <c r="D27" s="10" t="s">
        <v>494</v>
      </c>
      <c r="E27" s="38" t="s">
        <v>430</v>
      </c>
      <c r="F27" s="33" t="n">
        <v>11</v>
      </c>
      <c r="G27" s="33" t="n">
        <v>12</v>
      </c>
      <c r="H27" s="55" t="n">
        <v>1</v>
      </c>
      <c r="I27" s="56" t="n">
        <f aca="false">F27/60*01_Parametros_Mestre!$C$11</f>
        <v>6.74483333333333</v>
      </c>
      <c r="J27" s="56" t="n">
        <f aca="false">G27/60*01_Parametros_Mestre!$C$11</f>
        <v>7.358</v>
      </c>
      <c r="K27" s="51" t="s">
        <v>495</v>
      </c>
    </row>
    <row r="28" customFormat="false" ht="15" hidden="false" customHeight="true" outlineLevel="0" collapsed="false">
      <c r="B28" s="67" t="s">
        <v>496</v>
      </c>
      <c r="C28" s="73" t="s">
        <v>487</v>
      </c>
      <c r="D28" s="10" t="s">
        <v>497</v>
      </c>
      <c r="E28" s="38" t="s">
        <v>430</v>
      </c>
      <c r="F28" s="33" t="n">
        <v>15</v>
      </c>
      <c r="G28" s="33" t="n">
        <v>15</v>
      </c>
      <c r="H28" s="55" t="n">
        <v>1.5</v>
      </c>
      <c r="I28" s="56" t="n">
        <f aca="false">F28/60*01_Parametros_Mestre!$C$11</f>
        <v>9.1975</v>
      </c>
      <c r="J28" s="56" t="n">
        <f aca="false">G28/60*01_Parametros_Mestre!$C$11</f>
        <v>9.1975</v>
      </c>
      <c r="K28" s="51" t="s">
        <v>441</v>
      </c>
    </row>
    <row r="29" customFormat="false" ht="15" hidden="false" customHeight="true" outlineLevel="0" collapsed="false">
      <c r="B29" s="67" t="s">
        <v>498</v>
      </c>
      <c r="C29" s="74" t="s">
        <v>499</v>
      </c>
      <c r="D29" s="10" t="s">
        <v>500</v>
      </c>
      <c r="E29" s="38" t="s">
        <v>501</v>
      </c>
      <c r="F29" s="33" t="n">
        <v>5</v>
      </c>
      <c r="G29" s="33" t="n">
        <v>5</v>
      </c>
      <c r="H29" s="55" t="n">
        <v>1</v>
      </c>
      <c r="I29" s="69" t="s">
        <v>426</v>
      </c>
      <c r="J29" s="69" t="s">
        <v>426</v>
      </c>
      <c r="K29" s="51" t="s">
        <v>502</v>
      </c>
    </row>
    <row r="30" customFormat="false" ht="15" hidden="false" customHeight="true" outlineLevel="0" collapsed="false">
      <c r="B30" s="67" t="s">
        <v>503</v>
      </c>
      <c r="C30" s="74" t="s">
        <v>499</v>
      </c>
      <c r="D30" s="10" t="s">
        <v>504</v>
      </c>
      <c r="E30" s="38" t="s">
        <v>430</v>
      </c>
      <c r="F30" s="33" t="n">
        <v>50</v>
      </c>
      <c r="G30" s="33" t="n">
        <v>63</v>
      </c>
      <c r="H30" s="55" t="n">
        <v>2.5</v>
      </c>
      <c r="I30" s="56" t="n">
        <f aca="false">F30/60*01_Parametros_Mestre!$C$11</f>
        <v>30.6583333333333</v>
      </c>
      <c r="J30" s="56" t="n">
        <f aca="false">G30/60*01_Parametros_Mestre!$C$11</f>
        <v>38.6295</v>
      </c>
      <c r="K30" s="51" t="s">
        <v>441</v>
      </c>
    </row>
    <row r="31" customFormat="false" ht="23.25" hidden="false" customHeight="true" outlineLevel="0" collapsed="false">
      <c r="B31" s="67" t="s">
        <v>505</v>
      </c>
      <c r="C31" s="74" t="s">
        <v>499</v>
      </c>
      <c r="D31" s="10" t="s">
        <v>506</v>
      </c>
      <c r="E31" s="38" t="s">
        <v>468</v>
      </c>
      <c r="F31" s="33" t="n">
        <v>0</v>
      </c>
      <c r="G31" s="33" t="n">
        <v>0</v>
      </c>
      <c r="H31" s="55" t="n">
        <v>0</v>
      </c>
      <c r="I31" s="56" t="n">
        <f aca="false">F31/60*01_Parametros_Mestre!$C$11</f>
        <v>0</v>
      </c>
      <c r="J31" s="56" t="n">
        <f aca="false">G31/60*01_Parametros_Mestre!$C$11</f>
        <v>0</v>
      </c>
      <c r="K31" s="51" t="s">
        <v>507</v>
      </c>
    </row>
    <row r="32" customFormat="false" ht="15" hidden="false" customHeight="true" outlineLevel="0" collapsed="false">
      <c r="B32" s="67" t="s">
        <v>508</v>
      </c>
      <c r="C32" s="74" t="s">
        <v>499</v>
      </c>
      <c r="D32" s="10" t="s">
        <v>509</v>
      </c>
      <c r="E32" s="38" t="s">
        <v>430</v>
      </c>
      <c r="F32" s="33" t="n">
        <v>11</v>
      </c>
      <c r="G32" s="33" t="n">
        <v>12</v>
      </c>
      <c r="H32" s="55" t="n">
        <v>1</v>
      </c>
      <c r="I32" s="56" t="n">
        <f aca="false">F32/60*01_Parametros_Mestre!$C$11</f>
        <v>6.74483333333333</v>
      </c>
      <c r="J32" s="56" t="n">
        <f aca="false">G32/60*01_Parametros_Mestre!$C$11</f>
        <v>7.358</v>
      </c>
      <c r="K32" s="51" t="s">
        <v>489</v>
      </c>
    </row>
    <row r="33" customFormat="false" ht="15" hidden="false" customHeight="true" outlineLevel="0" collapsed="false">
      <c r="B33" s="67" t="s">
        <v>510</v>
      </c>
      <c r="C33" s="74" t="s">
        <v>499</v>
      </c>
      <c r="D33" s="10" t="s">
        <v>511</v>
      </c>
      <c r="E33" s="38" t="s">
        <v>430</v>
      </c>
      <c r="F33" s="33" t="n">
        <v>45</v>
      </c>
      <c r="G33" s="33" t="n">
        <v>45</v>
      </c>
      <c r="H33" s="55" t="n">
        <v>1</v>
      </c>
      <c r="I33" s="56" t="n">
        <f aca="false">F33/60*01_Parametros_Mestre!$C$11</f>
        <v>27.5925</v>
      </c>
      <c r="J33" s="56" t="n">
        <f aca="false">G33/60*01_Parametros_Mestre!$C$11</f>
        <v>27.5925</v>
      </c>
      <c r="K33" s="51" t="s">
        <v>512</v>
      </c>
    </row>
    <row r="34" customFormat="false" ht="15" hidden="false" customHeight="true" outlineLevel="0" collapsed="false">
      <c r="B34" s="67" t="s">
        <v>513</v>
      </c>
      <c r="C34" s="75" t="s">
        <v>514</v>
      </c>
      <c r="D34" s="10" t="s">
        <v>515</v>
      </c>
      <c r="E34" s="38" t="s">
        <v>516</v>
      </c>
      <c r="F34" s="33" t="n">
        <v>5</v>
      </c>
      <c r="G34" s="33" t="n">
        <v>5</v>
      </c>
      <c r="H34" s="55" t="n">
        <v>1</v>
      </c>
      <c r="I34" s="69" t="s">
        <v>426</v>
      </c>
      <c r="J34" s="69" t="s">
        <v>426</v>
      </c>
      <c r="K34" s="51" t="s">
        <v>489</v>
      </c>
    </row>
    <row r="35" customFormat="false" ht="15" hidden="false" customHeight="true" outlineLevel="0" collapsed="false">
      <c r="B35" s="67" t="s">
        <v>517</v>
      </c>
      <c r="C35" s="75" t="s">
        <v>514</v>
      </c>
      <c r="D35" s="10" t="s">
        <v>518</v>
      </c>
      <c r="E35" s="38" t="s">
        <v>430</v>
      </c>
      <c r="F35" s="33" t="n">
        <v>30</v>
      </c>
      <c r="G35" s="33" t="n">
        <v>30</v>
      </c>
      <c r="H35" s="55" t="n">
        <v>2</v>
      </c>
      <c r="I35" s="56" t="n">
        <f aca="false">F35/60*01_Parametros_Mestre!$C$11</f>
        <v>18.395</v>
      </c>
      <c r="J35" s="56" t="n">
        <f aca="false">G35/60*01_Parametros_Mestre!$C$11</f>
        <v>18.395</v>
      </c>
      <c r="K35" s="51" t="s">
        <v>441</v>
      </c>
    </row>
    <row r="36" customFormat="false" ht="23.25" hidden="false" customHeight="true" outlineLevel="0" collapsed="false">
      <c r="B36" s="67" t="s">
        <v>519</v>
      </c>
      <c r="C36" s="76" t="s">
        <v>520</v>
      </c>
      <c r="D36" s="10" t="s">
        <v>521</v>
      </c>
      <c r="E36" s="38" t="s">
        <v>430</v>
      </c>
      <c r="F36" s="33" t="n">
        <v>20</v>
      </c>
      <c r="G36" s="33" t="n">
        <v>20</v>
      </c>
      <c r="H36" s="55" t="n">
        <v>1.5</v>
      </c>
      <c r="I36" s="56" t="n">
        <f aca="false">F36/60*01_Parametros_Mestre!$C$11</f>
        <v>12.2633333333333</v>
      </c>
      <c r="J36" s="56" t="n">
        <f aca="false">G36/60*01_Parametros_Mestre!$C$11</f>
        <v>12.2633333333333</v>
      </c>
      <c r="K36" s="51" t="s">
        <v>522</v>
      </c>
    </row>
    <row r="37" customFormat="false" ht="15" hidden="false" customHeight="true" outlineLevel="0" collapsed="false">
      <c r="B37" s="77"/>
      <c r="C37" s="77"/>
      <c r="D37" s="44" t="s">
        <v>523</v>
      </c>
      <c r="E37" s="41"/>
      <c r="F37" s="78" t="n">
        <f aca="false">SUM(F6:F36)</f>
        <v>873</v>
      </c>
      <c r="G37" s="78" t="n">
        <f aca="false">SUM(G6:G36)</f>
        <v>806</v>
      </c>
      <c r="H37" s="41"/>
      <c r="I37" s="79" t="n">
        <f aca="false">SUM(I6:I36)</f>
        <v>528.549666666667</v>
      </c>
      <c r="J37" s="79" t="n">
        <f aca="false">SUM(J6:J36)</f>
        <v>487.4675</v>
      </c>
      <c r="K37" s="43" t="s">
        <v>524</v>
      </c>
    </row>
    <row r="38" customFormat="false" ht="15" hidden="false" customHeight="true" outlineLevel="0" collapsed="false">
      <c r="B38" s="80"/>
      <c r="C38" s="80"/>
      <c r="D38" s="47" t="s">
        <v>525</v>
      </c>
      <c r="E38" s="80"/>
      <c r="F38" s="81" t="n">
        <f aca="false">F37/60</f>
        <v>14.55</v>
      </c>
      <c r="G38" s="81" t="n">
        <f aca="false">G37/60</f>
        <v>13.4333333333333</v>
      </c>
      <c r="H38" s="80"/>
      <c r="I38" s="80"/>
      <c r="J38" s="80"/>
      <c r="K38" s="82" t="s">
        <v>526</v>
      </c>
    </row>
    <row r="40" customFormat="false" ht="15" hidden="false" customHeight="true" outlineLevel="0" collapsed="false">
      <c r="B40" s="83" t="s">
        <v>527</v>
      </c>
      <c r="C40" s="83"/>
      <c r="D40" s="83"/>
      <c r="E40" s="83"/>
      <c r="F40" s="83"/>
      <c r="G40" s="83"/>
      <c r="H40" s="83"/>
      <c r="I40" s="83"/>
      <c r="J40" s="83"/>
      <c r="K40" s="83"/>
    </row>
    <row r="41" customFormat="false" ht="15" hidden="false" customHeight="true" outlineLevel="0" collapsed="false">
      <c r="B41" s="8" t="s">
        <v>528</v>
      </c>
      <c r="C41" s="8"/>
      <c r="D41" s="8"/>
      <c r="E41" s="8"/>
      <c r="F41" s="8"/>
      <c r="G41" s="8"/>
      <c r="H41" s="8"/>
      <c r="I41" s="8"/>
      <c r="J41" s="8"/>
      <c r="K41" s="8"/>
    </row>
    <row r="42" customFormat="false" ht="15" hidden="false" customHeight="true" outlineLevel="0" collapsed="false">
      <c r="B42" s="8" t="s">
        <v>529</v>
      </c>
      <c r="C42" s="8"/>
      <c r="D42" s="8"/>
      <c r="E42" s="8"/>
      <c r="F42" s="8"/>
      <c r="G42" s="8"/>
      <c r="H42" s="8"/>
      <c r="I42" s="8"/>
      <c r="J42" s="8"/>
      <c r="K42" s="8"/>
    </row>
    <row r="43" customFormat="false" ht="15" hidden="false" customHeight="true" outlineLevel="0" collapsed="false">
      <c r="B43" s="8" t="s">
        <v>530</v>
      </c>
      <c r="C43" s="8"/>
      <c r="D43" s="8"/>
      <c r="E43" s="8"/>
      <c r="F43" s="8"/>
      <c r="G43" s="8"/>
      <c r="H43" s="8"/>
      <c r="I43" s="8"/>
      <c r="J43" s="8"/>
      <c r="K43" s="8"/>
    </row>
    <row r="44" customFormat="false" ht="15" hidden="false" customHeight="true" outlineLevel="0" collapsed="false">
      <c r="B44" s="8" t="s">
        <v>531</v>
      </c>
      <c r="C44" s="8"/>
      <c r="D44" s="8"/>
      <c r="E44" s="8"/>
      <c r="F44" s="8"/>
      <c r="G44" s="8"/>
      <c r="H44" s="8"/>
      <c r="I44" s="8"/>
      <c r="J44" s="8"/>
      <c r="K44" s="8"/>
    </row>
    <row r="45" customFormat="false" ht="15" hidden="false" customHeight="true" outlineLevel="0" collapsed="false">
      <c r="B45" s="8" t="s">
        <v>532</v>
      </c>
      <c r="C45" s="8"/>
      <c r="D45" s="8"/>
      <c r="E45" s="8"/>
      <c r="F45" s="8"/>
      <c r="G45" s="8"/>
      <c r="H45" s="8"/>
      <c r="I45" s="8"/>
      <c r="J45" s="8"/>
      <c r="K45" s="8"/>
    </row>
  </sheetData>
  <mergeCells count="8">
    <mergeCell ref="B2:K2"/>
    <mergeCell ref="B3:K3"/>
    <mergeCell ref="B40:K40"/>
    <mergeCell ref="B41:K41"/>
    <mergeCell ref="B42:K42"/>
    <mergeCell ref="B43:K43"/>
    <mergeCell ref="B44:K44"/>
    <mergeCell ref="B45:K4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J5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3"/>
    <col collapsed="false" customWidth="true" hidden="false" outlineLevel="0" max="2" min="2" style="1" width="34"/>
    <col collapsed="false" customWidth="true" hidden="false" outlineLevel="0" max="8" min="3" style="1" width="13"/>
    <col collapsed="false" customWidth="true" hidden="false" outlineLevel="0" max="9" min="9" style="1" width="40"/>
    <col collapsed="false" customWidth="true" hidden="false" outlineLevel="0" max="10" min="10" style="1" width="3"/>
  </cols>
  <sheetData>
    <row r="2" customFormat="false" ht="19.5" hidden="false" customHeight="true" outlineLevel="0" collapsed="false">
      <c r="B2" s="22" t="s">
        <v>533</v>
      </c>
      <c r="C2" s="22"/>
      <c r="D2" s="22"/>
      <c r="E2" s="22"/>
      <c r="F2" s="22"/>
      <c r="G2" s="22"/>
      <c r="H2" s="22"/>
      <c r="I2" s="22"/>
    </row>
    <row r="3" customFormat="false" ht="15" hidden="false" customHeight="true" outlineLevel="0" collapsed="false">
      <c r="B3" s="23" t="s">
        <v>534</v>
      </c>
      <c r="C3" s="23"/>
      <c r="D3" s="23"/>
      <c r="E3" s="23"/>
      <c r="F3" s="23"/>
      <c r="G3" s="23"/>
      <c r="H3" s="23"/>
      <c r="I3" s="23"/>
    </row>
    <row r="5" customFormat="false" ht="15" hidden="false" customHeight="true" outlineLevel="0" collapsed="false">
      <c r="B5" s="50" t="s">
        <v>535</v>
      </c>
      <c r="C5" s="50"/>
      <c r="D5" s="50"/>
      <c r="E5" s="50"/>
      <c r="F5" s="50"/>
      <c r="G5" s="50"/>
      <c r="H5" s="50"/>
      <c r="I5" s="50"/>
    </row>
    <row r="6" customFormat="false" ht="15" hidden="false" customHeight="true" outlineLevel="0" collapsed="false">
      <c r="B6" s="37" t="s">
        <v>536</v>
      </c>
      <c r="C6" s="38" t="s">
        <v>537</v>
      </c>
      <c r="D6" s="38"/>
      <c r="E6" s="38"/>
      <c r="F6" s="38"/>
      <c r="G6" s="38"/>
      <c r="H6" s="38"/>
      <c r="I6" s="38"/>
    </row>
    <row r="7" customFormat="false" ht="77.25" hidden="false" customHeight="true" outlineLevel="0" collapsed="false">
      <c r="B7" s="6" t="s">
        <v>538</v>
      </c>
      <c r="C7" s="6" t="s">
        <v>539</v>
      </c>
      <c r="D7" s="6" t="s">
        <v>540</v>
      </c>
      <c r="E7" s="6" t="s">
        <v>541</v>
      </c>
      <c r="F7" s="6" t="s">
        <v>542</v>
      </c>
      <c r="G7" s="6" t="s">
        <v>543</v>
      </c>
      <c r="H7" s="6" t="s">
        <v>544</v>
      </c>
      <c r="I7" s="6" t="s">
        <v>545</v>
      </c>
      <c r="J7" s="6" t="s">
        <v>261</v>
      </c>
    </row>
    <row r="8" customFormat="false" ht="334.5" hidden="false" customHeight="true" outlineLevel="0" collapsed="false">
      <c r="B8" s="84" t="s">
        <v>546</v>
      </c>
      <c r="C8" s="25" t="n">
        <v>570</v>
      </c>
      <c r="D8" s="25" t="n">
        <v>1075</v>
      </c>
      <c r="E8" s="25" t="n">
        <v>1580</v>
      </c>
      <c r="F8" s="64" t="n">
        <f aca="false">D8/1621</f>
        <v>0.663170882171499</v>
      </c>
      <c r="G8" s="85" t="n">
        <f aca="false">D8/1500</f>
        <v>0.716666666666667</v>
      </c>
      <c r="H8" s="34" t="n">
        <v>0.15</v>
      </c>
      <c r="I8" s="33" t="n">
        <v>8</v>
      </c>
      <c r="J8" s="51" t="s">
        <v>547</v>
      </c>
    </row>
    <row r="9" customFormat="false" ht="262.5" hidden="false" customHeight="true" outlineLevel="0" collapsed="false">
      <c r="B9" s="84" t="s">
        <v>548</v>
      </c>
      <c r="C9" s="25" t="n">
        <v>400</v>
      </c>
      <c r="D9" s="25" t="n">
        <v>700</v>
      </c>
      <c r="E9" s="25" t="n">
        <v>1100</v>
      </c>
      <c r="F9" s="64" t="n">
        <f aca="false">D9/1621</f>
        <v>0.431832202344232</v>
      </c>
      <c r="G9" s="85" t="n">
        <f aca="false">D9/1500</f>
        <v>0.466666666666667</v>
      </c>
      <c r="H9" s="34" t="n">
        <v>0.25</v>
      </c>
      <c r="I9" s="33" t="n">
        <v>6</v>
      </c>
      <c r="J9" s="51" t="s">
        <v>549</v>
      </c>
    </row>
    <row r="10" customFormat="false" ht="283.5" hidden="false" customHeight="true" outlineLevel="0" collapsed="false">
      <c r="B10" s="84" t="s">
        <v>550</v>
      </c>
      <c r="C10" s="25" t="n">
        <v>2000</v>
      </c>
      <c r="D10" s="25" t="n">
        <v>3000</v>
      </c>
      <c r="E10" s="25" t="n">
        <v>4000</v>
      </c>
      <c r="F10" s="64" t="n">
        <f aca="false">D10/1621</f>
        <v>1.85070943861814</v>
      </c>
      <c r="G10" s="85" t="n">
        <f aca="false">D10/1500</f>
        <v>2</v>
      </c>
      <c r="H10" s="34" t="n">
        <v>0.35</v>
      </c>
      <c r="I10" s="33" t="n">
        <v>4</v>
      </c>
      <c r="J10" s="51" t="s">
        <v>551</v>
      </c>
    </row>
    <row r="11" customFormat="false" ht="345" hidden="false" customHeight="true" outlineLevel="0" collapsed="false">
      <c r="B11" s="84" t="s">
        <v>552</v>
      </c>
      <c r="C11" s="25" t="n">
        <v>3000</v>
      </c>
      <c r="D11" s="25" t="n">
        <v>4500</v>
      </c>
      <c r="E11" s="25" t="n">
        <v>6000</v>
      </c>
      <c r="F11" s="64" t="n">
        <f aca="false">D11/1621</f>
        <v>2.77606415792721</v>
      </c>
      <c r="G11" s="85" t="n">
        <f aca="false">D11/1500</f>
        <v>3</v>
      </c>
      <c r="H11" s="34" t="n">
        <v>0.6</v>
      </c>
      <c r="I11" s="33" t="n">
        <v>6</v>
      </c>
      <c r="J11" s="51" t="s">
        <v>553</v>
      </c>
    </row>
    <row r="12" customFormat="false" ht="334.5" hidden="false" customHeight="true" outlineLevel="0" collapsed="false">
      <c r="B12" s="84" t="s">
        <v>554</v>
      </c>
      <c r="C12" s="25" t="n">
        <v>4800</v>
      </c>
      <c r="D12" s="25" t="n">
        <v>8000</v>
      </c>
      <c r="E12" s="25" t="n">
        <v>12000</v>
      </c>
      <c r="F12" s="64" t="n">
        <f aca="false">D12/1621</f>
        <v>4.93522516964837</v>
      </c>
      <c r="G12" s="85" t="n">
        <f aca="false">D12/1500</f>
        <v>5.33333333333333</v>
      </c>
      <c r="H12" s="34" t="n">
        <v>0.65</v>
      </c>
      <c r="I12" s="33" t="n">
        <v>8</v>
      </c>
      <c r="J12" s="51" t="s">
        <v>555</v>
      </c>
    </row>
    <row r="13" customFormat="false" ht="220.5" hidden="false" customHeight="true" outlineLevel="0" collapsed="false">
      <c r="B13" s="84" t="s">
        <v>556</v>
      </c>
      <c r="C13" s="25" t="n">
        <v>2500</v>
      </c>
      <c r="D13" s="25" t="n">
        <v>3500</v>
      </c>
      <c r="E13" s="25" t="n">
        <v>5000</v>
      </c>
      <c r="F13" s="64" t="n">
        <f aca="false">D13/1621</f>
        <v>2.15916101172116</v>
      </c>
      <c r="G13" s="85" t="n">
        <f aca="false">D13/1500</f>
        <v>2.33333333333333</v>
      </c>
      <c r="H13" s="34" t="n">
        <v>0.7</v>
      </c>
      <c r="I13" s="33" t="n">
        <v>4</v>
      </c>
      <c r="J13" s="51" t="s">
        <v>557</v>
      </c>
    </row>
    <row r="14" customFormat="false" ht="324.75" hidden="false" customHeight="true" outlineLevel="0" collapsed="false">
      <c r="B14" s="86" t="s">
        <v>558</v>
      </c>
      <c r="C14" s="87" t="n">
        <v>1500</v>
      </c>
      <c r="D14" s="87" t="n">
        <v>1500</v>
      </c>
      <c r="E14" s="87" t="n">
        <v>1500</v>
      </c>
      <c r="F14" s="64" t="n">
        <f aca="false">D14/1621</f>
        <v>0.925354719309068</v>
      </c>
      <c r="G14" s="88" t="n">
        <v>1</v>
      </c>
      <c r="H14" s="89" t="n">
        <v>0.9</v>
      </c>
      <c r="I14" s="90" t="n">
        <v>3</v>
      </c>
      <c r="J14" s="51" t="s">
        <v>559</v>
      </c>
    </row>
    <row r="16" customFormat="false" ht="15" hidden="false" customHeight="true" outlineLevel="0" collapsed="false">
      <c r="B16" s="50" t="s">
        <v>560</v>
      </c>
      <c r="C16" s="50"/>
      <c r="D16" s="50"/>
      <c r="E16" s="50"/>
      <c r="F16" s="50"/>
      <c r="G16" s="50"/>
      <c r="H16" s="50"/>
      <c r="I16" s="50"/>
    </row>
    <row r="17" customFormat="false" ht="15" hidden="false" customHeight="true" outlineLevel="0" collapsed="false">
      <c r="B17" s="37" t="s">
        <v>536</v>
      </c>
      <c r="C17" s="38" t="s">
        <v>561</v>
      </c>
      <c r="D17" s="38"/>
      <c r="E17" s="38"/>
      <c r="F17" s="38"/>
      <c r="G17" s="38"/>
      <c r="H17" s="38"/>
      <c r="I17" s="38"/>
    </row>
    <row r="18" customFormat="false" ht="77.25" hidden="false" customHeight="true" outlineLevel="0" collapsed="false">
      <c r="B18" s="6" t="s">
        <v>538</v>
      </c>
      <c r="C18" s="6" t="s">
        <v>539</v>
      </c>
      <c r="D18" s="6" t="s">
        <v>540</v>
      </c>
      <c r="E18" s="6" t="s">
        <v>541</v>
      </c>
      <c r="F18" s="6" t="s">
        <v>542</v>
      </c>
      <c r="G18" s="6" t="s">
        <v>543</v>
      </c>
      <c r="H18" s="6" t="s">
        <v>544</v>
      </c>
      <c r="I18" s="6" t="s">
        <v>545</v>
      </c>
      <c r="J18" s="6" t="s">
        <v>261</v>
      </c>
    </row>
    <row r="19" customFormat="false" ht="314.25" hidden="false" customHeight="true" outlineLevel="0" collapsed="false">
      <c r="B19" s="84" t="s">
        <v>562</v>
      </c>
      <c r="C19" s="25" t="n">
        <v>400</v>
      </c>
      <c r="D19" s="25" t="n">
        <v>650</v>
      </c>
      <c r="E19" s="25" t="n">
        <v>900</v>
      </c>
      <c r="F19" s="64" t="n">
        <f aca="false">D19/1621</f>
        <v>0.40098704503393</v>
      </c>
      <c r="G19" s="85" t="n">
        <f aca="false">D19/1500</f>
        <v>0.433333333333333</v>
      </c>
      <c r="H19" s="34" t="n">
        <v>0.3</v>
      </c>
      <c r="I19" s="33" t="n">
        <v>5</v>
      </c>
      <c r="J19" s="51" t="s">
        <v>563</v>
      </c>
    </row>
    <row r="20" customFormat="false" ht="252" hidden="false" customHeight="true" outlineLevel="0" collapsed="false">
      <c r="B20" s="84" t="s">
        <v>564</v>
      </c>
      <c r="C20" s="25" t="n">
        <v>800</v>
      </c>
      <c r="D20" s="25" t="n">
        <v>1500</v>
      </c>
      <c r="E20" s="25" t="n">
        <v>2500</v>
      </c>
      <c r="F20" s="64" t="n">
        <f aca="false">D20/1621</f>
        <v>0.925354719309068</v>
      </c>
      <c r="G20" s="85" t="n">
        <f aca="false">D20/1500</f>
        <v>1</v>
      </c>
      <c r="H20" s="34" t="n">
        <v>0.4</v>
      </c>
      <c r="I20" s="33" t="n">
        <v>3</v>
      </c>
      <c r="J20" s="51" t="s">
        <v>565</v>
      </c>
    </row>
    <row r="21" customFormat="false" ht="147.75" hidden="false" customHeight="true" outlineLevel="0" collapsed="false">
      <c r="B21" s="84" t="s">
        <v>566</v>
      </c>
      <c r="C21" s="25" t="n">
        <v>2500</v>
      </c>
      <c r="D21" s="25" t="n">
        <v>4000</v>
      </c>
      <c r="E21" s="25" t="n">
        <v>6500</v>
      </c>
      <c r="F21" s="64" t="n">
        <f aca="false">D21/1621</f>
        <v>2.46761258482418</v>
      </c>
      <c r="G21" s="85" t="n">
        <f aca="false">D21/1500</f>
        <v>2.66666666666667</v>
      </c>
      <c r="H21" s="34" t="n">
        <v>0.65</v>
      </c>
      <c r="I21" s="33" t="n">
        <v>5</v>
      </c>
      <c r="J21" s="51" t="s">
        <v>567</v>
      </c>
    </row>
    <row r="22" customFormat="false" ht="178.5" hidden="false" customHeight="true" outlineLevel="0" collapsed="false">
      <c r="B22" s="84" t="s">
        <v>568</v>
      </c>
      <c r="C22" s="25" t="n">
        <v>3500</v>
      </c>
      <c r="D22" s="25" t="n">
        <v>6500</v>
      </c>
      <c r="E22" s="25" t="n">
        <v>10000</v>
      </c>
      <c r="F22" s="64" t="n">
        <f aca="false">D22/1621</f>
        <v>4.0098704503393</v>
      </c>
      <c r="G22" s="85" t="n">
        <f aca="false">D22/1500</f>
        <v>4.33333333333333</v>
      </c>
      <c r="H22" s="34" t="n">
        <v>0.7</v>
      </c>
      <c r="I22" s="33" t="n">
        <v>6</v>
      </c>
      <c r="J22" s="51" t="s">
        <v>569</v>
      </c>
    </row>
    <row r="23" customFormat="false" ht="126.75" hidden="false" customHeight="true" outlineLevel="0" collapsed="false">
      <c r="B23" s="84" t="s">
        <v>570</v>
      </c>
      <c r="C23" s="25" t="n">
        <v>3000</v>
      </c>
      <c r="D23" s="25" t="n">
        <v>4500</v>
      </c>
      <c r="E23" s="25" t="n">
        <v>7000</v>
      </c>
      <c r="F23" s="64" t="n">
        <f aca="false">D23/1621</f>
        <v>2.77606415792721</v>
      </c>
      <c r="G23" s="85" t="n">
        <f aca="false">D23/1500</f>
        <v>3</v>
      </c>
      <c r="H23" s="34" t="n">
        <v>0.75</v>
      </c>
      <c r="I23" s="33" t="n">
        <v>3</v>
      </c>
      <c r="J23" s="51" t="s">
        <v>571</v>
      </c>
    </row>
    <row r="24" customFormat="false" ht="95.25" hidden="false" customHeight="true" outlineLevel="0" collapsed="false">
      <c r="B24" s="86" t="s">
        <v>558</v>
      </c>
      <c r="C24" s="87" t="n">
        <v>1500</v>
      </c>
      <c r="D24" s="87" t="n">
        <v>1500</v>
      </c>
      <c r="E24" s="87" t="n">
        <v>1500</v>
      </c>
      <c r="F24" s="64" t="n">
        <f aca="false">D24/1621</f>
        <v>0.925354719309068</v>
      </c>
      <c r="G24" s="88" t="n">
        <v>1</v>
      </c>
      <c r="H24" s="89" t="n">
        <v>0.9</v>
      </c>
      <c r="I24" s="90" t="n">
        <v>3</v>
      </c>
      <c r="J24" s="51" t="s">
        <v>572</v>
      </c>
    </row>
    <row r="26" customFormat="false" ht="15" hidden="false" customHeight="true" outlineLevel="0" collapsed="false">
      <c r="B26" s="50" t="s">
        <v>573</v>
      </c>
      <c r="C26" s="50"/>
      <c r="D26" s="50"/>
      <c r="E26" s="50"/>
      <c r="F26" s="50"/>
      <c r="G26" s="50"/>
      <c r="H26" s="50"/>
      <c r="I26" s="50"/>
    </row>
    <row r="27" customFormat="false" ht="15" hidden="false" customHeight="true" outlineLevel="0" collapsed="false">
      <c r="B27" s="37" t="s">
        <v>536</v>
      </c>
      <c r="C27" s="38" t="s">
        <v>574</v>
      </c>
      <c r="D27" s="38"/>
      <c r="E27" s="38"/>
      <c r="F27" s="38"/>
      <c r="G27" s="38"/>
      <c r="H27" s="38"/>
      <c r="I27" s="38"/>
    </row>
    <row r="28" customFormat="false" ht="77.25" hidden="false" customHeight="true" outlineLevel="0" collapsed="false">
      <c r="B28" s="6" t="s">
        <v>538</v>
      </c>
      <c r="C28" s="6" t="s">
        <v>539</v>
      </c>
      <c r="D28" s="6" t="s">
        <v>540</v>
      </c>
      <c r="E28" s="6" t="s">
        <v>541</v>
      </c>
      <c r="F28" s="6" t="s">
        <v>542</v>
      </c>
      <c r="G28" s="6" t="s">
        <v>543</v>
      </c>
      <c r="H28" s="6" t="s">
        <v>544</v>
      </c>
      <c r="I28" s="6" t="s">
        <v>545</v>
      </c>
      <c r="J28" s="6" t="s">
        <v>261</v>
      </c>
    </row>
    <row r="29" customFormat="false" ht="283.5" hidden="false" customHeight="true" outlineLevel="0" collapsed="false">
      <c r="B29" s="84" t="s">
        <v>575</v>
      </c>
      <c r="C29" s="25" t="n">
        <v>200</v>
      </c>
      <c r="D29" s="25" t="n">
        <v>500</v>
      </c>
      <c r="E29" s="25" t="n">
        <v>900</v>
      </c>
      <c r="F29" s="64" t="n">
        <f aca="false">D29/1621</f>
        <v>0.308451573103023</v>
      </c>
      <c r="G29" s="85" t="n">
        <f aca="false">D29/1500</f>
        <v>0.333333333333333</v>
      </c>
      <c r="H29" s="34" t="n">
        <v>0.3</v>
      </c>
      <c r="I29" s="33" t="n">
        <v>7</v>
      </c>
      <c r="J29" s="51" t="s">
        <v>576</v>
      </c>
    </row>
    <row r="30" customFormat="false" ht="220.5" hidden="false" customHeight="true" outlineLevel="0" collapsed="false">
      <c r="B30" s="84" t="s">
        <v>577</v>
      </c>
      <c r="C30" s="25" t="n">
        <v>1500</v>
      </c>
      <c r="D30" s="25" t="n">
        <v>2500</v>
      </c>
      <c r="E30" s="25" t="n">
        <v>3500</v>
      </c>
      <c r="F30" s="64" t="n">
        <f aca="false">D30/1621</f>
        <v>1.54225786551511</v>
      </c>
      <c r="G30" s="85" t="n">
        <f aca="false">D30/1500</f>
        <v>1.66666666666667</v>
      </c>
      <c r="H30" s="34" t="n">
        <v>0.35</v>
      </c>
      <c r="I30" s="33" t="n">
        <v>4</v>
      </c>
      <c r="J30" s="51" t="s">
        <v>578</v>
      </c>
    </row>
    <row r="31" customFormat="false" ht="220.5" hidden="false" customHeight="true" outlineLevel="0" collapsed="false">
      <c r="B31" s="84" t="s">
        <v>579</v>
      </c>
      <c r="C31" s="25" t="n">
        <v>2500</v>
      </c>
      <c r="D31" s="25" t="n">
        <v>4000</v>
      </c>
      <c r="E31" s="25" t="n">
        <v>6000</v>
      </c>
      <c r="F31" s="64" t="n">
        <f aca="false">D31/1621</f>
        <v>2.46761258482418</v>
      </c>
      <c r="G31" s="85" t="n">
        <f aca="false">D31/1500</f>
        <v>2.66666666666667</v>
      </c>
      <c r="H31" s="34" t="n">
        <v>0.55</v>
      </c>
      <c r="I31" s="33" t="n">
        <v>6</v>
      </c>
      <c r="J31" s="51" t="s">
        <v>580</v>
      </c>
    </row>
    <row r="32" customFormat="false" ht="137.25" hidden="false" customHeight="true" outlineLevel="0" collapsed="false">
      <c r="B32" s="84" t="s">
        <v>581</v>
      </c>
      <c r="C32" s="25" t="n">
        <v>3000</v>
      </c>
      <c r="D32" s="25" t="n">
        <v>5000</v>
      </c>
      <c r="E32" s="25" t="n">
        <v>8500</v>
      </c>
      <c r="F32" s="64" t="n">
        <f aca="false">D32/1621</f>
        <v>3.08451573103023</v>
      </c>
      <c r="G32" s="85" t="n">
        <f aca="false">D32/1500</f>
        <v>3.33333333333333</v>
      </c>
      <c r="H32" s="34" t="n">
        <v>0.6</v>
      </c>
      <c r="I32" s="33" t="n">
        <v>8</v>
      </c>
      <c r="J32" s="51" t="s">
        <v>582</v>
      </c>
    </row>
    <row r="33" customFormat="false" ht="210" hidden="false" customHeight="true" outlineLevel="0" collapsed="false">
      <c r="B33" s="86" t="s">
        <v>558</v>
      </c>
      <c r="C33" s="87" t="n">
        <v>1500</v>
      </c>
      <c r="D33" s="87" t="n">
        <v>1500</v>
      </c>
      <c r="E33" s="87" t="n">
        <v>1500</v>
      </c>
      <c r="F33" s="64" t="n">
        <f aca="false">D33/1621</f>
        <v>0.925354719309068</v>
      </c>
      <c r="G33" s="88" t="n">
        <v>1</v>
      </c>
      <c r="H33" s="89" t="n">
        <v>0.85</v>
      </c>
      <c r="I33" s="90" t="n">
        <v>4</v>
      </c>
      <c r="J33" s="51" t="s">
        <v>583</v>
      </c>
    </row>
    <row r="35" customFormat="false" ht="15" hidden="false" customHeight="true" outlineLevel="0" collapsed="false">
      <c r="B35" s="50" t="s">
        <v>584</v>
      </c>
      <c r="C35" s="50"/>
      <c r="D35" s="50"/>
      <c r="E35" s="50"/>
      <c r="F35" s="50"/>
      <c r="G35" s="50"/>
      <c r="H35" s="50"/>
      <c r="I35" s="50"/>
    </row>
    <row r="36" customFormat="false" ht="77.25" hidden="false" customHeight="true" outlineLevel="0" collapsed="false">
      <c r="B36" s="6" t="s">
        <v>585</v>
      </c>
      <c r="C36" s="6" t="s">
        <v>586</v>
      </c>
      <c r="D36" s="6" t="s">
        <v>587</v>
      </c>
      <c r="E36" s="6" t="s">
        <v>588</v>
      </c>
      <c r="F36" s="6" t="s">
        <v>589</v>
      </c>
      <c r="G36" s="6" t="s">
        <v>590</v>
      </c>
      <c r="H36" s="6"/>
      <c r="I36" s="6"/>
      <c r="J36" s="6" t="s">
        <v>261</v>
      </c>
    </row>
    <row r="37" customFormat="false" ht="126.75" hidden="false" customHeight="true" outlineLevel="0" collapsed="false">
      <c r="B37" s="10" t="s">
        <v>591</v>
      </c>
      <c r="C37" s="25" t="n">
        <v>45</v>
      </c>
      <c r="D37" s="33" t="n">
        <v>8</v>
      </c>
      <c r="E37" s="33" t="n">
        <v>4</v>
      </c>
      <c r="F37" s="33" t="n">
        <v>3</v>
      </c>
      <c r="G37" s="33" t="n">
        <v>0</v>
      </c>
      <c r="J37" s="51" t="s">
        <v>592</v>
      </c>
    </row>
    <row r="38" customFormat="false" ht="189" hidden="false" customHeight="true" outlineLevel="0" collapsed="false">
      <c r="B38" s="10" t="s">
        <v>593</v>
      </c>
      <c r="C38" s="25" t="n">
        <v>54</v>
      </c>
      <c r="D38" s="33" t="n">
        <v>12</v>
      </c>
      <c r="E38" s="33" t="n">
        <v>5</v>
      </c>
      <c r="F38" s="33" t="n">
        <v>4</v>
      </c>
      <c r="G38" s="33" t="n">
        <v>1</v>
      </c>
      <c r="J38" s="51" t="s">
        <v>594</v>
      </c>
    </row>
    <row r="39" customFormat="false" ht="168" hidden="false" customHeight="true" outlineLevel="0" collapsed="false">
      <c r="B39" s="10" t="s">
        <v>595</v>
      </c>
      <c r="C39" s="25" t="n">
        <v>25</v>
      </c>
      <c r="D39" s="33" t="n">
        <v>5</v>
      </c>
      <c r="E39" s="33" t="n">
        <v>3</v>
      </c>
      <c r="F39" s="33" t="n">
        <v>2</v>
      </c>
      <c r="G39" s="33" t="n">
        <v>0</v>
      </c>
      <c r="J39" s="51" t="s">
        <v>596</v>
      </c>
    </row>
    <row r="40" customFormat="false" ht="74.25" hidden="false" customHeight="true" outlineLevel="0" collapsed="false">
      <c r="B40" s="10" t="s">
        <v>597</v>
      </c>
      <c r="C40" s="25" t="n">
        <v>30</v>
      </c>
      <c r="D40" s="33" t="n">
        <v>8</v>
      </c>
      <c r="E40" s="33" t="n">
        <v>4</v>
      </c>
      <c r="F40" s="33" t="n">
        <v>3</v>
      </c>
      <c r="G40" s="33" t="n">
        <v>0</v>
      </c>
      <c r="J40" s="51" t="s">
        <v>598</v>
      </c>
    </row>
    <row r="41" customFormat="false" ht="126.75" hidden="false" customHeight="true" outlineLevel="0" collapsed="false">
      <c r="B41" s="10" t="s">
        <v>599</v>
      </c>
      <c r="C41" s="25" t="n">
        <v>8</v>
      </c>
      <c r="D41" s="33" t="n">
        <v>6</v>
      </c>
      <c r="E41" s="33" t="n">
        <v>2</v>
      </c>
      <c r="F41" s="33" t="n">
        <v>1</v>
      </c>
      <c r="G41" s="33" t="n">
        <v>0</v>
      </c>
      <c r="J41" s="51" t="s">
        <v>600</v>
      </c>
    </row>
    <row r="42" customFormat="false" ht="74.25" hidden="false" customHeight="true" outlineLevel="0" collapsed="false">
      <c r="B42" s="10" t="s">
        <v>601</v>
      </c>
      <c r="C42" s="25" t="n">
        <v>60</v>
      </c>
      <c r="D42" s="33" t="n">
        <v>3</v>
      </c>
      <c r="E42" s="33" t="n">
        <v>2</v>
      </c>
      <c r="F42" s="33" t="n">
        <v>1</v>
      </c>
      <c r="G42" s="33" t="n">
        <v>0</v>
      </c>
      <c r="J42" s="51" t="s">
        <v>602</v>
      </c>
    </row>
    <row r="43" customFormat="false" ht="15" hidden="false" customHeight="true" outlineLevel="0" collapsed="false">
      <c r="B43" s="40" t="s">
        <v>603</v>
      </c>
      <c r="C43" s="41"/>
      <c r="D43" s="91" t="n">
        <f aca="false">SUMPRODUCT($C$37:$C$42,D37:D42)</f>
        <v>1601</v>
      </c>
      <c r="E43" s="91" t="n">
        <f aca="false">SUMPRODUCT($C$37:$C$42,E37:E42)</f>
        <v>781</v>
      </c>
      <c r="F43" s="91" t="n">
        <f aca="false">SUMPRODUCT($C$37:$C$42,F37:F42)</f>
        <v>559</v>
      </c>
      <c r="G43" s="91" t="n">
        <f aca="false">SUMPRODUCT($C$37:$C$42,G37:G42)</f>
        <v>54</v>
      </c>
      <c r="H43" s="41"/>
      <c r="I43" s="41"/>
      <c r="J43" s="43" t="s">
        <v>604</v>
      </c>
    </row>
    <row r="45" customFormat="false" ht="15" hidden="false" customHeight="true" outlineLevel="0" collapsed="false">
      <c r="B45" s="6" t="s">
        <v>605</v>
      </c>
      <c r="C45" s="6"/>
      <c r="D45" s="6"/>
      <c r="E45" s="6"/>
      <c r="F45" s="6"/>
      <c r="G45" s="6"/>
      <c r="H45" s="6"/>
      <c r="I45" s="6"/>
    </row>
    <row r="46" customFormat="false" ht="39" hidden="false" customHeight="true" outlineLevel="0" collapsed="false">
      <c r="B46" s="6" t="s">
        <v>342</v>
      </c>
      <c r="C46" s="6" t="s">
        <v>606</v>
      </c>
      <c r="D46" s="6" t="s">
        <v>607</v>
      </c>
      <c r="E46" s="6" t="s">
        <v>608</v>
      </c>
      <c r="F46" s="6" t="s">
        <v>543</v>
      </c>
      <c r="G46" s="6" t="s">
        <v>39</v>
      </c>
      <c r="H46" s="6"/>
      <c r="I46" s="6"/>
      <c r="J46" s="6" t="s">
        <v>609</v>
      </c>
    </row>
    <row r="47" customFormat="false" ht="137.25" hidden="false" customHeight="true" outlineLevel="0" collapsed="false">
      <c r="B47" s="84" t="s">
        <v>610</v>
      </c>
      <c r="C47" s="48" t="n">
        <f aca="false">05_Dor_Monetaria_Persona!$D$8</f>
        <v>1075</v>
      </c>
      <c r="D47" s="48" t="n">
        <f aca="false">D43</f>
        <v>1601</v>
      </c>
      <c r="E47" s="31" t="n">
        <f aca="false">C47+D47</f>
        <v>2676</v>
      </c>
      <c r="F47" s="85" t="n">
        <f aca="false">E47/E51</f>
        <v>1.72200772200772</v>
      </c>
      <c r="G47" s="57" t="n">
        <f aca="false">(E47-E47)/E47</f>
        <v>0</v>
      </c>
      <c r="J47" s="51" t="s">
        <v>611</v>
      </c>
    </row>
    <row r="48" customFormat="false" ht="105.75" hidden="false" customHeight="true" outlineLevel="0" collapsed="false">
      <c r="B48" s="84" t="s">
        <v>612</v>
      </c>
      <c r="C48" s="48" t="n">
        <f aca="false">05_Dor_Monetaria_Persona!$D$10</f>
        <v>3000</v>
      </c>
      <c r="D48" s="48" t="n">
        <f aca="false">E43</f>
        <v>781</v>
      </c>
      <c r="E48" s="31" t="n">
        <f aca="false">C48+D48</f>
        <v>3781</v>
      </c>
      <c r="F48" s="85" t="n">
        <f aca="false">E48/E51</f>
        <v>2.43307593307593</v>
      </c>
      <c r="G48" s="57" t="n">
        <f aca="false">(E47-E48)/E47</f>
        <v>-0.412929745889387</v>
      </c>
      <c r="J48" s="51" t="s">
        <v>613</v>
      </c>
    </row>
    <row r="49" customFormat="false" ht="95.25" hidden="false" customHeight="true" outlineLevel="0" collapsed="false">
      <c r="B49" s="84" t="s">
        <v>614</v>
      </c>
      <c r="C49" s="48" t="n">
        <f aca="false">05_Dor_Monetaria_Persona!$D$11</f>
        <v>4500</v>
      </c>
      <c r="D49" s="48" t="n">
        <f aca="false">F43</f>
        <v>559</v>
      </c>
      <c r="E49" s="31" t="n">
        <f aca="false">C49+D49</f>
        <v>5059</v>
      </c>
      <c r="F49" s="85" t="n">
        <f aca="false">E49/E51</f>
        <v>3.25546975546976</v>
      </c>
      <c r="G49" s="57" t="n">
        <f aca="false">(E47-E49)/E47</f>
        <v>-0.89050822122571</v>
      </c>
      <c r="J49" s="51" t="s">
        <v>615</v>
      </c>
    </row>
    <row r="50" customFormat="false" ht="137.25" hidden="false" customHeight="true" outlineLevel="0" collapsed="false">
      <c r="B50" s="84" t="s">
        <v>581</v>
      </c>
      <c r="C50" s="48" t="n">
        <f aca="false">05_Dor_Monetaria_Persona!$D$12</f>
        <v>8000</v>
      </c>
      <c r="D50" s="48" t="n">
        <f aca="false">F43</f>
        <v>559</v>
      </c>
      <c r="E50" s="31" t="n">
        <f aca="false">C50+D50</f>
        <v>8559</v>
      </c>
      <c r="F50" s="85" t="n">
        <f aca="false">E50/E51</f>
        <v>5.50772200772201</v>
      </c>
      <c r="G50" s="57" t="n">
        <f aca="false">(E47-E50)/E47</f>
        <v>-2.19843049327354</v>
      </c>
      <c r="J50" s="51" t="s">
        <v>616</v>
      </c>
    </row>
    <row r="51" customFormat="false" ht="105.75" hidden="false" customHeight="true" outlineLevel="0" collapsed="false">
      <c r="B51" s="86" t="s">
        <v>558</v>
      </c>
      <c r="C51" s="48" t="n">
        <f aca="false">1500</f>
        <v>1500</v>
      </c>
      <c r="D51" s="48" t="n">
        <f aca="false">G43</f>
        <v>54</v>
      </c>
      <c r="E51" s="61" t="n">
        <f aca="false">C51+D51</f>
        <v>1554</v>
      </c>
      <c r="F51" s="88" t="n">
        <v>1</v>
      </c>
      <c r="G51" s="62" t="n">
        <f aca="false">(E47-E51)/E47</f>
        <v>0.419282511210762</v>
      </c>
      <c r="J51" s="51" t="s">
        <v>617</v>
      </c>
    </row>
    <row r="53" customFormat="false" ht="23.25" hidden="false" customHeight="true" outlineLevel="0" collapsed="false">
      <c r="B53" s="63" t="s">
        <v>618</v>
      </c>
      <c r="C53" s="37" t="s">
        <v>619</v>
      </c>
      <c r="D53" s="37"/>
      <c r="E53" s="37"/>
      <c r="F53" s="37"/>
      <c r="G53" s="37"/>
      <c r="H53" s="37"/>
      <c r="I53" s="37"/>
      <c r="J53" s="37"/>
    </row>
    <row r="54" customFormat="false" ht="15" hidden="false" customHeight="true" outlineLevel="0" collapsed="false">
      <c r="B54" s="92" t="s">
        <v>620</v>
      </c>
      <c r="C54" s="93" t="s">
        <v>621</v>
      </c>
      <c r="D54" s="93"/>
      <c r="E54" s="93"/>
      <c r="F54" s="93"/>
      <c r="G54" s="93"/>
      <c r="H54" s="93"/>
      <c r="I54" s="93"/>
      <c r="J54" s="93"/>
    </row>
  </sheetData>
  <mergeCells count="12">
    <mergeCell ref="B2:I2"/>
    <mergeCell ref="B3:I3"/>
    <mergeCell ref="B5:I5"/>
    <mergeCell ref="C6:I6"/>
    <mergeCell ref="B16:I16"/>
    <mergeCell ref="C17:I17"/>
    <mergeCell ref="B26:I26"/>
    <mergeCell ref="C27:I27"/>
    <mergeCell ref="B35:I35"/>
    <mergeCell ref="B45:I45"/>
    <mergeCell ref="C53:J53"/>
    <mergeCell ref="C54:J5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I3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3"/>
    <col collapsed="false" customWidth="true" hidden="false" outlineLevel="0" max="2" min="2" style="1" width="36"/>
    <col collapsed="false" customWidth="true" hidden="false" outlineLevel="0" max="7" min="3" style="1" width="13"/>
    <col collapsed="false" customWidth="true" hidden="false" outlineLevel="0" max="8" min="8" style="1" width="45"/>
    <col collapsed="false" customWidth="true" hidden="false" outlineLevel="0" max="9" min="9" style="1" width="3"/>
  </cols>
  <sheetData>
    <row r="2" customFormat="false" ht="19.5" hidden="false" customHeight="true" outlineLevel="0" collapsed="false">
      <c r="B2" s="22" t="s">
        <v>622</v>
      </c>
      <c r="C2" s="22"/>
      <c r="D2" s="22"/>
      <c r="E2" s="22"/>
      <c r="F2" s="22"/>
      <c r="G2" s="22"/>
      <c r="H2" s="22"/>
    </row>
    <row r="3" customFormat="false" ht="15" hidden="false" customHeight="true" outlineLevel="0" collapsed="false">
      <c r="B3" s="23" t="s">
        <v>623</v>
      </c>
      <c r="C3" s="23"/>
      <c r="D3" s="23"/>
      <c r="E3" s="23"/>
      <c r="F3" s="23"/>
      <c r="G3" s="23"/>
      <c r="H3" s="23"/>
    </row>
    <row r="5" customFormat="false" ht="15" hidden="false" customHeight="true" outlineLevel="0" collapsed="false">
      <c r="B5" s="50" t="s">
        <v>624</v>
      </c>
      <c r="C5" s="50"/>
      <c r="D5" s="50"/>
      <c r="E5" s="50"/>
      <c r="F5" s="50"/>
      <c r="G5" s="50"/>
      <c r="H5" s="50"/>
    </row>
    <row r="6" customFormat="false" ht="128.25" hidden="false" customHeight="true" outlineLevel="0" collapsed="false">
      <c r="B6" s="6" t="s">
        <v>625</v>
      </c>
      <c r="C6" s="6" t="s">
        <v>626</v>
      </c>
      <c r="D6" s="6" t="s">
        <v>627</v>
      </c>
      <c r="E6" s="6" t="s">
        <v>628</v>
      </c>
      <c r="F6" s="6" t="s">
        <v>380</v>
      </c>
      <c r="G6" s="6" t="s">
        <v>629</v>
      </c>
      <c r="H6" s="6" t="s">
        <v>630</v>
      </c>
      <c r="I6" s="6" t="s">
        <v>631</v>
      </c>
    </row>
    <row r="7" customFormat="false" ht="334.5" hidden="false" customHeight="true" outlineLevel="0" collapsed="false">
      <c r="B7" s="94" t="s">
        <v>632</v>
      </c>
      <c r="C7" s="95" t="n">
        <v>1000</v>
      </c>
      <c r="D7" s="25" t="n">
        <v>529</v>
      </c>
      <c r="E7" s="96" t="n">
        <f aca="false">C7-D7</f>
        <v>471</v>
      </c>
      <c r="F7" s="97" t="n">
        <f aca="false">E7/C7</f>
        <v>0.471</v>
      </c>
      <c r="G7" s="98" t="n">
        <f aca="false">IF(E7&gt;0,25000/E7,99999)</f>
        <v>53.0785562632696</v>
      </c>
      <c r="H7" s="99" t="s">
        <v>633</v>
      </c>
      <c r="I7" s="51" t="s">
        <v>634</v>
      </c>
    </row>
    <row r="8" customFormat="false" ht="220.5" hidden="false" customHeight="true" outlineLevel="0" collapsed="false">
      <c r="B8" s="10" t="s">
        <v>635</v>
      </c>
      <c r="C8" s="25" t="n">
        <v>1200</v>
      </c>
      <c r="D8" s="25" t="n">
        <v>529</v>
      </c>
      <c r="E8" s="31" t="n">
        <f aca="false">C8-D8</f>
        <v>671</v>
      </c>
      <c r="F8" s="57" t="n">
        <f aca="false">E8/C8</f>
        <v>0.559166666666667</v>
      </c>
      <c r="G8" s="49" t="n">
        <f aca="false">IF(E8&gt;0,25000/E8,99999)</f>
        <v>37.25782414307</v>
      </c>
      <c r="H8" s="74" t="s">
        <v>636</v>
      </c>
      <c r="I8" s="51" t="s">
        <v>637</v>
      </c>
    </row>
    <row r="9" customFormat="false" ht="189" hidden="false" customHeight="true" outlineLevel="0" collapsed="false">
      <c r="B9" s="100" t="s">
        <v>638</v>
      </c>
      <c r="C9" s="101" t="n">
        <v>1500</v>
      </c>
      <c r="D9" s="25" t="n">
        <v>529</v>
      </c>
      <c r="E9" s="61" t="n">
        <f aca="false">C9-D9</f>
        <v>971</v>
      </c>
      <c r="F9" s="62" t="n">
        <f aca="false">E9/C9</f>
        <v>0.647333333333333</v>
      </c>
      <c r="G9" s="102" t="n">
        <f aca="false">IF(E9&gt;0,25000/E9,99999)</f>
        <v>25.7466529351184</v>
      </c>
      <c r="H9" s="103" t="s">
        <v>639</v>
      </c>
      <c r="I9" s="51" t="s">
        <v>640</v>
      </c>
    </row>
    <row r="10" customFormat="false" ht="189" hidden="false" customHeight="true" outlineLevel="0" collapsed="false">
      <c r="B10" s="10" t="s">
        <v>641</v>
      </c>
      <c r="C10" s="25" t="n">
        <v>1800</v>
      </c>
      <c r="D10" s="25" t="n">
        <v>529</v>
      </c>
      <c r="E10" s="31" t="n">
        <f aca="false">C10-D10</f>
        <v>1271</v>
      </c>
      <c r="F10" s="57" t="n">
        <f aca="false">E10/C10</f>
        <v>0.706111111111111</v>
      </c>
      <c r="G10" s="49" t="n">
        <f aca="false">IF(E10&gt;0,25000/E10,99999)</f>
        <v>19.669551534225</v>
      </c>
      <c r="H10" s="104" t="s">
        <v>642</v>
      </c>
      <c r="I10" s="51" t="s">
        <v>643</v>
      </c>
    </row>
    <row r="11" customFormat="false" ht="199.5" hidden="false" customHeight="true" outlineLevel="0" collapsed="false">
      <c r="B11" s="10" t="s">
        <v>644</v>
      </c>
      <c r="C11" s="25" t="n">
        <v>2000</v>
      </c>
      <c r="D11" s="25" t="n">
        <v>529</v>
      </c>
      <c r="E11" s="31" t="n">
        <f aca="false">C11-D11</f>
        <v>1471</v>
      </c>
      <c r="F11" s="57" t="n">
        <f aca="false">E11/C11</f>
        <v>0.7355</v>
      </c>
      <c r="G11" s="49" t="n">
        <f aca="false">IF(E11&gt;0,25000/E11,99999)</f>
        <v>16.9952413324269</v>
      </c>
      <c r="H11" s="104" t="s">
        <v>642</v>
      </c>
      <c r="I11" s="51" t="s">
        <v>645</v>
      </c>
    </row>
    <row r="12" customFormat="false" ht="189" hidden="false" customHeight="true" outlineLevel="0" collapsed="false">
      <c r="B12" s="10" t="s">
        <v>646</v>
      </c>
      <c r="C12" s="25" t="n">
        <v>2500</v>
      </c>
      <c r="D12" s="25" t="n">
        <v>529</v>
      </c>
      <c r="E12" s="31" t="n">
        <f aca="false">C12-D12</f>
        <v>1971</v>
      </c>
      <c r="F12" s="57" t="n">
        <f aca="false">E12/C12</f>
        <v>0.7884</v>
      </c>
      <c r="G12" s="49" t="n">
        <f aca="false">IF(E12&gt;0,25000/E12,99999)</f>
        <v>12.6839167935058</v>
      </c>
      <c r="H12" s="104" t="s">
        <v>647</v>
      </c>
      <c r="I12" s="51" t="s">
        <v>648</v>
      </c>
    </row>
    <row r="13" customFormat="false" ht="231" hidden="false" customHeight="true" outlineLevel="0" collapsed="false">
      <c r="B13" s="94" t="s">
        <v>649</v>
      </c>
      <c r="C13" s="95" t="n">
        <v>3000</v>
      </c>
      <c r="D13" s="25" t="n">
        <v>529</v>
      </c>
      <c r="E13" s="96" t="n">
        <f aca="false">C13-D13</f>
        <v>2471</v>
      </c>
      <c r="F13" s="97" t="n">
        <f aca="false">E13/C13</f>
        <v>0.823666666666667</v>
      </c>
      <c r="G13" s="98" t="n">
        <f aca="false">IF(E13&gt;0,25000/E13,99999)</f>
        <v>10.1173613921489</v>
      </c>
      <c r="H13" s="99" t="s">
        <v>633</v>
      </c>
      <c r="I13" s="51" t="s">
        <v>650</v>
      </c>
    </row>
    <row r="16" customFormat="false" ht="15" hidden="false" customHeight="true" outlineLevel="0" collapsed="false">
      <c r="B16" s="19" t="s">
        <v>651</v>
      </c>
      <c r="C16" s="19"/>
      <c r="D16" s="19"/>
      <c r="E16" s="19"/>
      <c r="F16" s="19"/>
      <c r="G16" s="19"/>
      <c r="H16" s="19"/>
    </row>
    <row r="17" customFormat="false" ht="39" hidden="false" customHeight="true" outlineLevel="0" collapsed="false">
      <c r="B17" s="6" t="s">
        <v>652</v>
      </c>
      <c r="C17" s="6" t="s">
        <v>653</v>
      </c>
      <c r="D17" s="6" t="s">
        <v>654</v>
      </c>
      <c r="E17" s="6"/>
      <c r="F17" s="6"/>
      <c r="G17" s="6"/>
      <c r="H17" s="6"/>
      <c r="I17" s="6" t="s">
        <v>655</v>
      </c>
    </row>
    <row r="18" customFormat="false" ht="116.25" hidden="false" customHeight="true" outlineLevel="0" collapsed="false">
      <c r="B18" s="105" t="s">
        <v>656</v>
      </c>
      <c r="C18" s="38" t="s">
        <v>657</v>
      </c>
      <c r="D18" s="10" t="s">
        <v>658</v>
      </c>
      <c r="E18" s="10"/>
      <c r="F18" s="10"/>
      <c r="G18" s="10"/>
      <c r="H18" s="10"/>
      <c r="I18" s="106" t="s">
        <v>659</v>
      </c>
    </row>
    <row r="19" customFormat="false" ht="168" hidden="false" customHeight="true" outlineLevel="0" collapsed="false">
      <c r="B19" s="105" t="s">
        <v>660</v>
      </c>
      <c r="C19" s="38" t="s">
        <v>661</v>
      </c>
      <c r="D19" s="10" t="s">
        <v>662</v>
      </c>
      <c r="E19" s="10"/>
      <c r="F19" s="10"/>
      <c r="G19" s="10"/>
      <c r="H19" s="10"/>
      <c r="I19" s="106" t="s">
        <v>663</v>
      </c>
    </row>
    <row r="20" customFormat="false" ht="137.25" hidden="false" customHeight="true" outlineLevel="0" collapsed="false">
      <c r="B20" s="105" t="s">
        <v>664</v>
      </c>
      <c r="C20" s="38" t="s">
        <v>665</v>
      </c>
      <c r="D20" s="10" t="s">
        <v>666</v>
      </c>
      <c r="E20" s="10"/>
      <c r="F20" s="10"/>
      <c r="G20" s="10"/>
      <c r="H20" s="10"/>
      <c r="I20" s="106" t="s">
        <v>667</v>
      </c>
    </row>
    <row r="21" customFormat="false" ht="168" hidden="false" customHeight="true" outlineLevel="0" collapsed="false">
      <c r="B21" s="105" t="s">
        <v>668</v>
      </c>
      <c r="C21" s="38" t="s">
        <v>669</v>
      </c>
      <c r="D21" s="10" t="s">
        <v>670</v>
      </c>
      <c r="E21" s="10"/>
      <c r="F21" s="10"/>
      <c r="G21" s="10"/>
      <c r="H21" s="10"/>
      <c r="I21" s="106" t="s">
        <v>671</v>
      </c>
    </row>
    <row r="22" customFormat="false" ht="157.5" hidden="false" customHeight="true" outlineLevel="0" collapsed="false">
      <c r="B22" s="105" t="s">
        <v>672</v>
      </c>
      <c r="C22" s="38" t="s">
        <v>673</v>
      </c>
      <c r="D22" s="10" t="s">
        <v>674</v>
      </c>
      <c r="E22" s="10"/>
      <c r="F22" s="10"/>
      <c r="G22" s="10"/>
      <c r="H22" s="10"/>
      <c r="I22" s="106" t="s">
        <v>675</v>
      </c>
    </row>
    <row r="23" customFormat="false" ht="116.25" hidden="false" customHeight="true" outlineLevel="0" collapsed="false">
      <c r="B23" s="105" t="s">
        <v>676</v>
      </c>
      <c r="C23" s="38" t="s">
        <v>677</v>
      </c>
      <c r="D23" s="10" t="s">
        <v>678</v>
      </c>
      <c r="E23" s="10"/>
      <c r="F23" s="10"/>
      <c r="G23" s="10"/>
      <c r="H23" s="10"/>
      <c r="I23" s="106" t="s">
        <v>679</v>
      </c>
    </row>
    <row r="26" customFormat="false" ht="15" hidden="false" customHeight="true" outlineLevel="0" collapsed="false">
      <c r="B26" s="50" t="s">
        <v>680</v>
      </c>
      <c r="C26" s="50"/>
      <c r="D26" s="50"/>
      <c r="E26" s="50"/>
      <c r="F26" s="50"/>
      <c r="G26" s="50"/>
      <c r="H26" s="50"/>
    </row>
    <row r="27" customFormat="false" ht="15" hidden="false" customHeight="true" outlineLevel="0" collapsed="false">
      <c r="B27" s="107" t="s">
        <v>681</v>
      </c>
      <c r="C27" s="10" t="s">
        <v>682</v>
      </c>
      <c r="D27" s="10"/>
      <c r="E27" s="10"/>
      <c r="F27" s="10"/>
      <c r="G27" s="10"/>
      <c r="H27" s="10"/>
    </row>
    <row r="28" customFormat="false" ht="15" hidden="false" customHeight="true" outlineLevel="0" collapsed="false">
      <c r="B28" s="107" t="s">
        <v>683</v>
      </c>
      <c r="C28" s="10" t="s">
        <v>684</v>
      </c>
      <c r="D28" s="10"/>
      <c r="E28" s="10"/>
      <c r="F28" s="10"/>
      <c r="G28" s="10"/>
      <c r="H28" s="10"/>
    </row>
    <row r="29" customFormat="false" ht="23.25" hidden="false" customHeight="true" outlineLevel="0" collapsed="false">
      <c r="B29" s="107" t="s">
        <v>685</v>
      </c>
      <c r="C29" s="10" t="s">
        <v>686</v>
      </c>
      <c r="D29" s="10"/>
      <c r="E29" s="10"/>
      <c r="F29" s="10"/>
      <c r="G29" s="10"/>
      <c r="H29" s="10"/>
    </row>
    <row r="30" customFormat="false" ht="15" hidden="false" customHeight="true" outlineLevel="0" collapsed="false">
      <c r="B30" s="107" t="s">
        <v>687</v>
      </c>
      <c r="C30" s="10" t="s">
        <v>688</v>
      </c>
      <c r="D30" s="10"/>
      <c r="E30" s="10"/>
      <c r="F30" s="10"/>
      <c r="G30" s="10"/>
      <c r="H30" s="10"/>
    </row>
    <row r="31" customFormat="false" ht="15" hidden="false" customHeight="true" outlineLevel="0" collapsed="false">
      <c r="B31" s="107" t="s">
        <v>689</v>
      </c>
      <c r="C31" s="10" t="s">
        <v>690</v>
      </c>
      <c r="D31" s="10"/>
      <c r="E31" s="10"/>
      <c r="F31" s="10"/>
      <c r="G31" s="10"/>
      <c r="H31" s="10"/>
    </row>
    <row r="32" customFormat="false" ht="15" hidden="false" customHeight="true" outlineLevel="0" collapsed="false">
      <c r="B32" s="107" t="s">
        <v>691</v>
      </c>
      <c r="C32" s="10" t="s">
        <v>692</v>
      </c>
      <c r="D32" s="10"/>
      <c r="E32" s="10"/>
      <c r="F32" s="10"/>
      <c r="G32" s="10"/>
      <c r="H32" s="10"/>
    </row>
    <row r="33" customFormat="false" ht="15" hidden="false" customHeight="true" outlineLevel="0" collapsed="false">
      <c r="B33" s="107" t="s">
        <v>693</v>
      </c>
      <c r="C33" s="10" t="s">
        <v>694</v>
      </c>
      <c r="D33" s="10"/>
      <c r="E33" s="10"/>
      <c r="F33" s="10"/>
      <c r="G33" s="10"/>
      <c r="H33" s="10"/>
    </row>
  </sheetData>
  <mergeCells count="18">
    <mergeCell ref="B2:H2"/>
    <mergeCell ref="B3:H3"/>
    <mergeCell ref="B5:H5"/>
    <mergeCell ref="B16:H16"/>
    <mergeCell ref="D18:H18"/>
    <mergeCell ref="D19:H19"/>
    <mergeCell ref="D20:H20"/>
    <mergeCell ref="D21:H21"/>
    <mergeCell ref="D22:H22"/>
    <mergeCell ref="D23:H23"/>
    <mergeCell ref="B26:H26"/>
    <mergeCell ref="C27:H27"/>
    <mergeCell ref="C28:H28"/>
    <mergeCell ref="C29:H29"/>
    <mergeCell ref="C30:H30"/>
    <mergeCell ref="C31:H31"/>
    <mergeCell ref="C32:H32"/>
    <mergeCell ref="C33:H3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I2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3"/>
    <col collapsed="false" customWidth="true" hidden="false" outlineLevel="0" max="2" min="2" style="1" width="32"/>
    <col collapsed="false" customWidth="true" hidden="false" outlineLevel="0" max="8" min="3" style="1" width="16"/>
    <col collapsed="false" customWidth="true" hidden="false" outlineLevel="0" max="9" min="9" style="1" width="38"/>
    <col collapsed="false" customWidth="true" hidden="false" outlineLevel="0" max="10" min="10" style="1" width="3"/>
  </cols>
  <sheetData>
    <row r="2" customFormat="false" ht="19.5" hidden="false" customHeight="true" outlineLevel="0" collapsed="false">
      <c r="B2" s="22" t="s">
        <v>695</v>
      </c>
      <c r="C2" s="22"/>
      <c r="D2" s="22"/>
      <c r="E2" s="22"/>
      <c r="F2" s="22"/>
      <c r="G2" s="22"/>
      <c r="H2" s="22"/>
      <c r="I2" s="22"/>
    </row>
    <row r="3" customFormat="false" ht="15" hidden="false" customHeight="true" outlineLevel="0" collapsed="false">
      <c r="B3" s="23" t="s">
        <v>696</v>
      </c>
      <c r="C3" s="23"/>
      <c r="D3" s="23"/>
      <c r="E3" s="23"/>
      <c r="F3" s="23"/>
      <c r="G3" s="23"/>
      <c r="H3" s="23"/>
      <c r="I3" s="23"/>
    </row>
    <row r="5" customFormat="false" ht="39" hidden="false" customHeight="true" outlineLevel="0" collapsed="false">
      <c r="B5" s="6" t="s">
        <v>697</v>
      </c>
      <c r="C5" s="6" t="s">
        <v>351</v>
      </c>
      <c r="D5" s="6" t="s">
        <v>698</v>
      </c>
      <c r="E5" s="6" t="s">
        <v>699</v>
      </c>
      <c r="F5" s="6" t="s">
        <v>700</v>
      </c>
      <c r="G5" s="6" t="s">
        <v>701</v>
      </c>
      <c r="H5" s="6" t="s">
        <v>702</v>
      </c>
      <c r="I5" s="6" t="s">
        <v>261</v>
      </c>
    </row>
    <row r="6" customFormat="false" ht="15" hidden="false" customHeight="true" outlineLevel="0" collapsed="false">
      <c r="B6" s="10" t="s">
        <v>703</v>
      </c>
      <c r="C6" s="33" t="n">
        <v>2</v>
      </c>
      <c r="D6" s="33" t="n">
        <v>6</v>
      </c>
      <c r="E6" s="33" t="n">
        <v>8</v>
      </c>
      <c r="F6" s="33" t="n">
        <v>16</v>
      </c>
      <c r="G6" s="33" t="n">
        <v>35</v>
      </c>
      <c r="H6" s="33" t="n">
        <v>80</v>
      </c>
      <c r="I6" s="51" t="s">
        <v>704</v>
      </c>
    </row>
    <row r="7" customFormat="false" ht="15" hidden="false" customHeight="true" outlineLevel="0" collapsed="false">
      <c r="B7" s="10" t="s">
        <v>705</v>
      </c>
      <c r="C7" s="33" t="n">
        <v>0</v>
      </c>
      <c r="D7" s="33" t="n">
        <v>1</v>
      </c>
      <c r="E7" s="33" t="n">
        <v>2</v>
      </c>
      <c r="F7" s="33" t="n">
        <v>2</v>
      </c>
      <c r="G7" s="33" t="n">
        <v>5</v>
      </c>
      <c r="H7" s="33" t="n">
        <v>12</v>
      </c>
      <c r="I7" s="51" t="s">
        <v>706</v>
      </c>
    </row>
    <row r="8" customFormat="false" ht="15" hidden="false" customHeight="true" outlineLevel="0" collapsed="false">
      <c r="B8" s="10" t="s">
        <v>707</v>
      </c>
      <c r="C8" s="25" t="n">
        <v>2000</v>
      </c>
      <c r="D8" s="25" t="n">
        <v>2000</v>
      </c>
      <c r="E8" s="25" t="n">
        <v>2500</v>
      </c>
      <c r="F8" s="25" t="n">
        <v>4000</v>
      </c>
      <c r="G8" s="25" t="n">
        <v>8000</v>
      </c>
      <c r="H8" s="25" t="n">
        <v>20000</v>
      </c>
      <c r="I8" s="51" t="s">
        <v>708</v>
      </c>
    </row>
    <row r="9" customFormat="false" ht="15" hidden="false" customHeight="true" outlineLevel="0" collapsed="false">
      <c r="B9" s="10" t="s">
        <v>345</v>
      </c>
      <c r="C9" s="25" t="n">
        <v>10000</v>
      </c>
      <c r="D9" s="25" t="n">
        <v>25000</v>
      </c>
      <c r="E9" s="25" t="n">
        <v>38000</v>
      </c>
      <c r="F9" s="25" t="n">
        <v>95000</v>
      </c>
      <c r="G9" s="25" t="n">
        <v>200000</v>
      </c>
      <c r="H9" s="25" t="n">
        <v>500000</v>
      </c>
      <c r="I9" s="51" t="s">
        <v>709</v>
      </c>
    </row>
    <row r="10" customFormat="false" ht="15" hidden="false" customHeight="true" outlineLevel="0" collapsed="false">
      <c r="B10" s="10" t="s">
        <v>710</v>
      </c>
      <c r="C10" s="25" t="n">
        <v>2000</v>
      </c>
      <c r="D10" s="25" t="n">
        <v>6000</v>
      </c>
      <c r="E10" s="25" t="n">
        <v>9000</v>
      </c>
      <c r="F10" s="25" t="n">
        <v>15000</v>
      </c>
      <c r="G10" s="25" t="n">
        <v>40000</v>
      </c>
      <c r="H10" s="25" t="n">
        <v>95000</v>
      </c>
      <c r="I10" s="51" t="s">
        <v>711</v>
      </c>
    </row>
    <row r="11" customFormat="false" ht="15" hidden="false" customHeight="true" outlineLevel="0" collapsed="false">
      <c r="B11" s="10" t="s">
        <v>712</v>
      </c>
      <c r="C11" s="25" t="n">
        <v>1500</v>
      </c>
      <c r="D11" s="25" t="n">
        <v>3000</v>
      </c>
      <c r="E11" s="25" t="n">
        <v>6000</v>
      </c>
      <c r="F11" s="25" t="n">
        <v>10000</v>
      </c>
      <c r="G11" s="25" t="n">
        <v>25000</v>
      </c>
      <c r="H11" s="25" t="n">
        <v>60000</v>
      </c>
      <c r="I11" s="51" t="s">
        <v>713</v>
      </c>
    </row>
    <row r="12" customFormat="false" ht="15" hidden="false" customHeight="true" outlineLevel="0" collapsed="false">
      <c r="B12" s="10" t="s">
        <v>714</v>
      </c>
      <c r="C12" s="25" t="n">
        <v>1000</v>
      </c>
      <c r="D12" s="25" t="n">
        <v>3000</v>
      </c>
      <c r="E12" s="25" t="n">
        <v>8000</v>
      </c>
      <c r="F12" s="25" t="n">
        <v>20000</v>
      </c>
      <c r="G12" s="25" t="n">
        <v>80000</v>
      </c>
      <c r="H12" s="25" t="n">
        <v>200000</v>
      </c>
      <c r="I12" s="51" t="s">
        <v>715</v>
      </c>
    </row>
    <row r="13" customFormat="false" ht="15" hidden="false" customHeight="true" outlineLevel="0" collapsed="false">
      <c r="B13" s="108" t="s">
        <v>716</v>
      </c>
      <c r="C13" s="109" t="n">
        <f aca="false">SUM(C8:C12)</f>
        <v>16500</v>
      </c>
      <c r="D13" s="109" t="n">
        <f aca="false">SUM(D8:D12)</f>
        <v>39000</v>
      </c>
      <c r="E13" s="109" t="n">
        <f aca="false">SUM(E8:E12)</f>
        <v>63500</v>
      </c>
      <c r="F13" s="109" t="n">
        <f aca="false">SUM(F8:F12)</f>
        <v>144000</v>
      </c>
      <c r="G13" s="109" t="n">
        <f aca="false">SUM(G8:G12)</f>
        <v>353000</v>
      </c>
      <c r="H13" s="109" t="n">
        <f aca="false">SUM(H8:H12)</f>
        <v>875000</v>
      </c>
      <c r="I13" s="51" t="s">
        <v>717</v>
      </c>
    </row>
    <row r="14" customFormat="false" ht="15" hidden="false" customHeight="true" outlineLevel="0" collapsed="false">
      <c r="B14" s="10" t="s">
        <v>718</v>
      </c>
      <c r="C14" s="25" t="n">
        <v>529</v>
      </c>
      <c r="D14" s="25" t="n">
        <v>529</v>
      </c>
      <c r="E14" s="25" t="n">
        <v>529</v>
      </c>
      <c r="F14" s="25" t="n">
        <v>495</v>
      </c>
      <c r="G14" s="25" t="n">
        <v>440</v>
      </c>
      <c r="H14" s="25" t="n">
        <v>385</v>
      </c>
      <c r="I14" s="51" t="s">
        <v>719</v>
      </c>
    </row>
    <row r="15" customFormat="false" ht="15" hidden="false" customHeight="true" outlineLevel="0" collapsed="false">
      <c r="B15" s="10" t="s">
        <v>378</v>
      </c>
      <c r="C15" s="25" t="n">
        <v>1500</v>
      </c>
      <c r="D15" s="25" t="n">
        <v>1500</v>
      </c>
      <c r="E15" s="25" t="n">
        <v>1500</v>
      </c>
      <c r="F15" s="25" t="n">
        <v>1500</v>
      </c>
      <c r="G15" s="25" t="n">
        <v>1500</v>
      </c>
      <c r="H15" s="25" t="n">
        <v>1500</v>
      </c>
      <c r="I15" s="51" t="s">
        <v>720</v>
      </c>
    </row>
    <row r="16" customFormat="false" ht="15" hidden="false" customHeight="true" outlineLevel="0" collapsed="false">
      <c r="B16" s="108" t="s">
        <v>721</v>
      </c>
      <c r="C16" s="31" t="n">
        <f aca="false">C15-C14</f>
        <v>971</v>
      </c>
      <c r="D16" s="31" t="n">
        <f aca="false">D15-D14</f>
        <v>971</v>
      </c>
      <c r="E16" s="31" t="n">
        <f aca="false">E15-E14</f>
        <v>971</v>
      </c>
      <c r="F16" s="31" t="n">
        <f aca="false">F15-F14</f>
        <v>1005</v>
      </c>
      <c r="G16" s="31" t="n">
        <f aca="false">G15-G14</f>
        <v>1060</v>
      </c>
      <c r="H16" s="31" t="n">
        <f aca="false">H15-H14</f>
        <v>1115</v>
      </c>
      <c r="I16" s="51" t="s">
        <v>722</v>
      </c>
    </row>
    <row r="17" customFormat="false" ht="15" hidden="false" customHeight="true" outlineLevel="0" collapsed="false">
      <c r="B17" s="108" t="s">
        <v>723</v>
      </c>
      <c r="C17" s="110" t="n">
        <f aca="false">C16/C15</f>
        <v>0.647333333333333</v>
      </c>
      <c r="D17" s="110" t="n">
        <f aca="false">D16/D15</f>
        <v>0.647333333333333</v>
      </c>
      <c r="E17" s="110" t="n">
        <f aca="false">E16/E15</f>
        <v>0.647333333333333</v>
      </c>
      <c r="F17" s="110" t="n">
        <f aca="false">F16/F15</f>
        <v>0.67</v>
      </c>
      <c r="G17" s="110" t="n">
        <f aca="false">G16/G15</f>
        <v>0.706666666666667</v>
      </c>
      <c r="H17" s="110" t="n">
        <f aca="false">H16/H15</f>
        <v>0.743333333333333</v>
      </c>
      <c r="I17" s="51" t="s">
        <v>724</v>
      </c>
    </row>
    <row r="18" customFormat="false" ht="15" hidden="false" customHeight="true" outlineLevel="0" collapsed="false">
      <c r="B18" s="111" t="s">
        <v>725</v>
      </c>
      <c r="C18" s="112" t="n">
        <f aca="false">C13/C16</f>
        <v>16.9927909371782</v>
      </c>
      <c r="D18" s="112" t="n">
        <f aca="false">D13/D16</f>
        <v>40.1647785787848</v>
      </c>
      <c r="E18" s="112" t="n">
        <f aca="false">E13/E16</f>
        <v>65.3964984552008</v>
      </c>
      <c r="F18" s="112" t="n">
        <f aca="false">F13/F16</f>
        <v>143.283582089552</v>
      </c>
      <c r="G18" s="112" t="n">
        <f aca="false">G13/G16</f>
        <v>333.018867924528</v>
      </c>
      <c r="H18" s="112" t="n">
        <f aca="false">H13/H16</f>
        <v>784.7533632287</v>
      </c>
      <c r="I18" s="113" t="s">
        <v>726</v>
      </c>
    </row>
    <row r="19" customFormat="false" ht="15" hidden="false" customHeight="true" outlineLevel="0" collapsed="false">
      <c r="B19" s="10" t="s">
        <v>727</v>
      </c>
      <c r="C19" s="33" t="n">
        <v>20</v>
      </c>
      <c r="D19" s="33" t="n">
        <v>75</v>
      </c>
      <c r="E19" s="33" t="n">
        <v>110</v>
      </c>
      <c r="F19" s="33" t="n">
        <v>250</v>
      </c>
      <c r="G19" s="33" t="n">
        <v>600</v>
      </c>
      <c r="H19" s="33" t="n">
        <v>1500</v>
      </c>
      <c r="I19" s="51" t="s">
        <v>728</v>
      </c>
    </row>
    <row r="20" customFormat="false" ht="15" hidden="false" customHeight="true" outlineLevel="0" collapsed="false">
      <c r="B20" s="10" t="s">
        <v>729</v>
      </c>
      <c r="C20" s="64" t="n">
        <f aca="false">C18/C19</f>
        <v>0.849639546858908</v>
      </c>
      <c r="D20" s="64" t="n">
        <f aca="false">D18/D19</f>
        <v>0.535530381050463</v>
      </c>
      <c r="E20" s="64" t="n">
        <f aca="false">E18/E19</f>
        <v>0.594513622320008</v>
      </c>
      <c r="F20" s="64" t="n">
        <f aca="false">F18/F19</f>
        <v>0.573134328358209</v>
      </c>
      <c r="G20" s="64" t="n">
        <f aca="false">G18/G19</f>
        <v>0.555031446540881</v>
      </c>
      <c r="H20" s="64" t="n">
        <f aca="false">H18/H19</f>
        <v>0.523168908819133</v>
      </c>
      <c r="I20" s="51" t="s">
        <v>730</v>
      </c>
    </row>
    <row r="23" customFormat="false" ht="15" hidden="false" customHeight="true" outlineLevel="0" collapsed="false">
      <c r="B23" s="50" t="s">
        <v>731</v>
      </c>
      <c r="C23" s="50"/>
      <c r="D23" s="50"/>
      <c r="E23" s="50"/>
      <c r="F23" s="50"/>
      <c r="G23" s="50"/>
      <c r="H23" s="50"/>
      <c r="I23" s="50"/>
    </row>
    <row r="24" customFormat="false" ht="26.25" hidden="false" customHeight="true" outlineLevel="0" collapsed="false">
      <c r="B24" s="6" t="s">
        <v>732</v>
      </c>
      <c r="C24" s="6" t="s">
        <v>628</v>
      </c>
      <c r="D24" s="6" t="s">
        <v>380</v>
      </c>
      <c r="E24" s="6" t="s">
        <v>733</v>
      </c>
      <c r="F24" s="6" t="s">
        <v>734</v>
      </c>
      <c r="G24" s="6" t="s">
        <v>735</v>
      </c>
      <c r="H24" s="6"/>
      <c r="I24" s="6" t="s">
        <v>630</v>
      </c>
    </row>
    <row r="25" customFormat="false" ht="15" hidden="false" customHeight="true" outlineLevel="0" collapsed="false">
      <c r="B25" s="25" t="n">
        <v>1200</v>
      </c>
      <c r="C25" s="31" t="n">
        <f aca="false">B25-529</f>
        <v>671</v>
      </c>
      <c r="D25" s="57" t="n">
        <f aca="false">C25/B25</f>
        <v>0.559166666666667</v>
      </c>
      <c r="E25" s="49" t="n">
        <f aca="false">25000/C25</f>
        <v>37.25782414307</v>
      </c>
      <c r="F25" s="56" t="n">
        <f aca="false">E25*B25</f>
        <v>44709.3889716841</v>
      </c>
      <c r="G25" s="56" t="n">
        <f aca="false">(22-E25)*C25</f>
        <v>-10238</v>
      </c>
      <c r="I25" s="104" t="s">
        <v>736</v>
      </c>
    </row>
    <row r="26" customFormat="false" ht="15" hidden="false" customHeight="true" outlineLevel="0" collapsed="false">
      <c r="B26" s="101" t="n">
        <v>1500</v>
      </c>
      <c r="C26" s="31" t="n">
        <f aca="false">B26-529</f>
        <v>971</v>
      </c>
      <c r="D26" s="57" t="n">
        <f aca="false">C26/B26</f>
        <v>0.647333333333333</v>
      </c>
      <c r="E26" s="49" t="n">
        <f aca="false">25000/C26</f>
        <v>25.7466529351184</v>
      </c>
      <c r="F26" s="56" t="n">
        <f aca="false">E26*B26</f>
        <v>38619.9794026777</v>
      </c>
      <c r="G26" s="56" t="n">
        <f aca="false">(22-E26)*C26</f>
        <v>-3638</v>
      </c>
      <c r="I26" s="114" t="s">
        <v>737</v>
      </c>
    </row>
    <row r="27" customFormat="false" ht="15" hidden="false" customHeight="true" outlineLevel="0" collapsed="false">
      <c r="B27" s="25" t="n">
        <v>1800</v>
      </c>
      <c r="C27" s="31" t="n">
        <f aca="false">B27-529</f>
        <v>1271</v>
      </c>
      <c r="D27" s="57" t="n">
        <f aca="false">C27/B27</f>
        <v>0.706111111111111</v>
      </c>
      <c r="E27" s="49" t="n">
        <f aca="false">25000/C27</f>
        <v>19.669551534225</v>
      </c>
      <c r="F27" s="56" t="n">
        <f aca="false">E27*B27</f>
        <v>35405.192761605</v>
      </c>
      <c r="G27" s="56" t="n">
        <f aca="false">(22-E27)*C27</f>
        <v>2962</v>
      </c>
      <c r="I27" s="104" t="s">
        <v>738</v>
      </c>
    </row>
    <row r="28" customFormat="false" ht="15" hidden="false" customHeight="true" outlineLevel="0" collapsed="false">
      <c r="B28" s="25" t="n">
        <v>2000</v>
      </c>
      <c r="C28" s="31" t="n">
        <f aca="false">B28-529</f>
        <v>1471</v>
      </c>
      <c r="D28" s="57" t="n">
        <f aca="false">C28/B28</f>
        <v>0.7355</v>
      </c>
      <c r="E28" s="49" t="n">
        <f aca="false">25000/C28</f>
        <v>16.9952413324269</v>
      </c>
      <c r="F28" s="56" t="n">
        <f aca="false">E28*B28</f>
        <v>33990.4826648538</v>
      </c>
      <c r="G28" s="56" t="n">
        <f aca="false">(22-E28)*C28</f>
        <v>7362</v>
      </c>
      <c r="I28" s="104" t="s">
        <v>739</v>
      </c>
    </row>
    <row r="29" customFormat="false" ht="15" hidden="false" customHeight="true" outlineLevel="0" collapsed="false">
      <c r="B29" s="25" t="n">
        <v>2500</v>
      </c>
      <c r="C29" s="31" t="n">
        <f aca="false">B29-529</f>
        <v>1971</v>
      </c>
      <c r="D29" s="57" t="n">
        <f aca="false">C29/B29</f>
        <v>0.7884</v>
      </c>
      <c r="E29" s="49" t="n">
        <f aca="false">25000/C29</f>
        <v>12.6839167935058</v>
      </c>
      <c r="F29" s="56" t="n">
        <f aca="false">E29*B29</f>
        <v>31709.7919837646</v>
      </c>
      <c r="G29" s="56" t="n">
        <f aca="false">(22-E29)*C29</f>
        <v>18362</v>
      </c>
      <c r="I29" s="104" t="s">
        <v>740</v>
      </c>
    </row>
  </sheetData>
  <mergeCells count="3">
    <mergeCell ref="B2:I2"/>
    <mergeCell ref="B3:I3"/>
    <mergeCell ref="B23:I2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O2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1" width="3"/>
    <col collapsed="false" customWidth="true" hidden="false" outlineLevel="0" max="2" min="2" style="1" width="25"/>
    <col collapsed="false" customWidth="true" hidden="false" outlineLevel="0" max="14" min="3" style="1" width="10"/>
    <col collapsed="false" customWidth="true" hidden="false" outlineLevel="0" max="15" min="15" style="1" width="12"/>
    <col collapsed="false" customWidth="true" hidden="false" outlineLevel="0" max="16" min="16" style="1" width="3"/>
  </cols>
  <sheetData>
    <row r="2" customFormat="false" ht="19.5" hidden="false" customHeight="true" outlineLevel="0" collapsed="false">
      <c r="B2" s="22" t="s">
        <v>741</v>
      </c>
      <c r="C2" s="22"/>
      <c r="D2" s="22"/>
      <c r="E2" s="22"/>
      <c r="F2" s="22"/>
      <c r="G2" s="22"/>
      <c r="H2" s="22"/>
      <c r="I2" s="22"/>
      <c r="J2" s="22"/>
      <c r="K2" s="22"/>
      <c r="L2" s="22"/>
      <c r="M2" s="22"/>
      <c r="N2" s="22"/>
      <c r="O2" s="22"/>
    </row>
    <row r="3" customFormat="false" ht="15" hidden="false" customHeight="true" outlineLevel="0" collapsed="false">
      <c r="B3" s="23" t="s">
        <v>742</v>
      </c>
      <c r="C3" s="23"/>
      <c r="D3" s="23"/>
      <c r="E3" s="23"/>
      <c r="F3" s="23"/>
      <c r="G3" s="23"/>
      <c r="H3" s="23"/>
      <c r="I3" s="23"/>
      <c r="J3" s="23"/>
      <c r="K3" s="23"/>
      <c r="L3" s="23"/>
      <c r="M3" s="23"/>
      <c r="N3" s="23"/>
      <c r="O3" s="23"/>
    </row>
    <row r="5" customFormat="false" ht="26.25" hidden="false" customHeight="true" outlineLevel="0" collapsed="false">
      <c r="B5" s="6" t="s">
        <v>743</v>
      </c>
      <c r="C5" s="6" t="s">
        <v>744</v>
      </c>
      <c r="D5" s="6" t="s">
        <v>745</v>
      </c>
      <c r="E5" s="6" t="s">
        <v>746</v>
      </c>
      <c r="F5" s="6" t="s">
        <v>747</v>
      </c>
      <c r="G5" s="6" t="s">
        <v>748</v>
      </c>
      <c r="H5" s="6" t="s">
        <v>749</v>
      </c>
      <c r="I5" s="6" t="s">
        <v>750</v>
      </c>
      <c r="J5" s="6" t="s">
        <v>751</v>
      </c>
      <c r="K5" s="6" t="s">
        <v>752</v>
      </c>
      <c r="L5" s="6" t="s">
        <v>753</v>
      </c>
      <c r="M5" s="6" t="s">
        <v>754</v>
      </c>
      <c r="N5" s="6" t="s">
        <v>755</v>
      </c>
      <c r="O5" s="6" t="s">
        <v>756</v>
      </c>
    </row>
    <row r="6" customFormat="false" ht="15" hidden="false" customHeight="true" outlineLevel="0" collapsed="false">
      <c r="B6" s="115" t="s">
        <v>757</v>
      </c>
      <c r="C6" s="116" t="s">
        <v>758</v>
      </c>
      <c r="D6" s="116" t="s">
        <v>758</v>
      </c>
      <c r="E6" s="116" t="s">
        <v>758</v>
      </c>
      <c r="F6" s="117" t="s">
        <v>759</v>
      </c>
      <c r="G6" s="117" t="s">
        <v>759</v>
      </c>
      <c r="H6" s="117" t="s">
        <v>759</v>
      </c>
      <c r="I6" s="117" t="s">
        <v>759</v>
      </c>
      <c r="J6" s="117" t="s">
        <v>759</v>
      </c>
      <c r="K6" s="118" t="s">
        <v>760</v>
      </c>
      <c r="L6" s="119" t="s">
        <v>761</v>
      </c>
      <c r="M6" s="120" t="s">
        <v>762</v>
      </c>
      <c r="N6" s="120" t="s">
        <v>762</v>
      </c>
      <c r="O6" s="77"/>
    </row>
    <row r="7" customFormat="false" ht="15" hidden="false" customHeight="true" outlineLevel="0" collapsed="false">
      <c r="B7" s="37" t="s">
        <v>763</v>
      </c>
      <c r="C7" s="33" t="n">
        <v>15</v>
      </c>
      <c r="D7" s="33" t="n">
        <v>30</v>
      </c>
      <c r="E7" s="33" t="n">
        <v>50</v>
      </c>
      <c r="F7" s="33" t="n">
        <v>60</v>
      </c>
      <c r="G7" s="33" t="n">
        <v>80</v>
      </c>
      <c r="H7" s="33" t="n">
        <v>100</v>
      </c>
      <c r="I7" s="33" t="n">
        <v>120</v>
      </c>
      <c r="J7" s="33" t="n">
        <v>150</v>
      </c>
      <c r="K7" s="33" t="n">
        <v>200</v>
      </c>
      <c r="L7" s="33" t="n">
        <v>280</v>
      </c>
      <c r="M7" s="33" t="n">
        <v>350</v>
      </c>
      <c r="N7" s="33" t="n">
        <v>420</v>
      </c>
      <c r="O7" s="121" t="n">
        <f aca="false">SUM(C7:N7)</f>
        <v>1855</v>
      </c>
    </row>
    <row r="8" customFormat="false" ht="15" hidden="false" customHeight="true" outlineLevel="0" collapsed="false">
      <c r="B8" s="37" t="s">
        <v>764</v>
      </c>
      <c r="C8" s="56" t="n">
        <f aca="false">C7*01_Parametros_Mestre!$C$25</f>
        <v>22500</v>
      </c>
      <c r="D8" s="56" t="n">
        <f aca="false">D7*01_Parametros_Mestre!$C$25</f>
        <v>45000</v>
      </c>
      <c r="E8" s="56" t="n">
        <f aca="false">E7*01_Parametros_Mestre!$C$25</f>
        <v>75000</v>
      </c>
      <c r="F8" s="56" t="n">
        <f aca="false">F7*01_Parametros_Mestre!$C$25</f>
        <v>90000</v>
      </c>
      <c r="G8" s="56" t="n">
        <f aca="false">G7*01_Parametros_Mestre!$C$25</f>
        <v>120000</v>
      </c>
      <c r="H8" s="56" t="n">
        <f aca="false">H7*01_Parametros_Mestre!$C$25</f>
        <v>150000</v>
      </c>
      <c r="I8" s="56" t="n">
        <f aca="false">I7*01_Parametros_Mestre!$C$25</f>
        <v>180000</v>
      </c>
      <c r="J8" s="56" t="n">
        <f aca="false">J7*01_Parametros_Mestre!$C$25</f>
        <v>225000</v>
      </c>
      <c r="K8" s="56" t="n">
        <f aca="false">K7*01_Parametros_Mestre!$C$25</f>
        <v>300000</v>
      </c>
      <c r="L8" s="56" t="n">
        <f aca="false">L7*01_Parametros_Mestre!$C$25</f>
        <v>420000</v>
      </c>
      <c r="M8" s="56" t="n">
        <f aca="false">M7*01_Parametros_Mestre!$C$25</f>
        <v>525000</v>
      </c>
      <c r="N8" s="56" t="n">
        <f aca="false">N7*01_Parametros_Mestre!$C$25</f>
        <v>630000</v>
      </c>
      <c r="O8" s="109" t="n">
        <f aca="false">SUM(C8:N8)</f>
        <v>2782500</v>
      </c>
    </row>
    <row r="9" customFormat="false" ht="15" hidden="false" customHeight="true" outlineLevel="0" collapsed="false">
      <c r="B9" s="10" t="s">
        <v>765</v>
      </c>
      <c r="C9" s="56" t="n">
        <f aca="false">-C8*0.06</f>
        <v>-1350</v>
      </c>
      <c r="D9" s="56" t="n">
        <f aca="false">-D8*0.06</f>
        <v>-2700</v>
      </c>
      <c r="E9" s="56" t="n">
        <f aca="false">-E8*0.06</f>
        <v>-4500</v>
      </c>
      <c r="F9" s="56" t="n">
        <f aca="false">-F8*0.06</f>
        <v>-5400</v>
      </c>
      <c r="G9" s="56" t="n">
        <f aca="false">-G8*0.06</f>
        <v>-7200</v>
      </c>
      <c r="H9" s="56" t="n">
        <f aca="false">-H8*0.06</f>
        <v>-9000</v>
      </c>
      <c r="I9" s="56" t="n">
        <f aca="false">-I8*0.06</f>
        <v>-10800</v>
      </c>
      <c r="J9" s="56" t="n">
        <f aca="false">-J8*0.06</f>
        <v>-13500</v>
      </c>
      <c r="K9" s="56" t="n">
        <f aca="false">-K8*0.06</f>
        <v>-18000</v>
      </c>
      <c r="L9" s="56" t="n">
        <f aca="false">-L8*0.06</f>
        <v>-25200</v>
      </c>
      <c r="M9" s="56" t="n">
        <f aca="false">-M8*0.06</f>
        <v>-31500</v>
      </c>
      <c r="N9" s="56" t="n">
        <f aca="false">-N8*0.06</f>
        <v>-37800</v>
      </c>
      <c r="O9" s="56" t="n">
        <f aca="false">SUM(C9:N9)</f>
        <v>-166950</v>
      </c>
    </row>
    <row r="10" customFormat="false" ht="15" hidden="false" customHeight="true" outlineLevel="0" collapsed="false">
      <c r="B10" s="37" t="s">
        <v>766</v>
      </c>
      <c r="C10" s="31" t="n">
        <f aca="false">C8+C9</f>
        <v>21150</v>
      </c>
      <c r="D10" s="31" t="n">
        <f aca="false">D8+D9</f>
        <v>42300</v>
      </c>
      <c r="E10" s="31" t="n">
        <f aca="false">E8+E9</f>
        <v>70500</v>
      </c>
      <c r="F10" s="31" t="n">
        <f aca="false">F8+F9</f>
        <v>84600</v>
      </c>
      <c r="G10" s="31" t="n">
        <f aca="false">G8+G9</f>
        <v>112800</v>
      </c>
      <c r="H10" s="31" t="n">
        <f aca="false">H8+H9</f>
        <v>141000</v>
      </c>
      <c r="I10" s="31" t="n">
        <f aca="false">I8+I9</f>
        <v>169200</v>
      </c>
      <c r="J10" s="31" t="n">
        <f aca="false">J8+J9</f>
        <v>211500</v>
      </c>
      <c r="K10" s="31" t="n">
        <f aca="false">K8+K9</f>
        <v>282000</v>
      </c>
      <c r="L10" s="31" t="n">
        <f aca="false">L8+L9</f>
        <v>394800</v>
      </c>
      <c r="M10" s="31" t="n">
        <f aca="false">M8+M9</f>
        <v>493500</v>
      </c>
      <c r="N10" s="31" t="n">
        <f aca="false">N8+N9</f>
        <v>592200</v>
      </c>
      <c r="O10" s="109" t="n">
        <f aca="false">SUM(C10:N10)</f>
        <v>2615550</v>
      </c>
    </row>
    <row r="11" customFormat="false" ht="23.25" hidden="false" customHeight="true" outlineLevel="0" collapsed="false">
      <c r="B11" s="10" t="s">
        <v>767</v>
      </c>
      <c r="C11" s="56" t="n">
        <f aca="false">-C7*01_Parametros_Mestre!$C$23</f>
        <v>-7935</v>
      </c>
      <c r="D11" s="56" t="n">
        <f aca="false">-D7*01_Parametros_Mestre!$C$23</f>
        <v>-15870</v>
      </c>
      <c r="E11" s="56" t="n">
        <f aca="false">-E7*01_Parametros_Mestre!$C$23</f>
        <v>-26450</v>
      </c>
      <c r="F11" s="56" t="n">
        <f aca="false">-F7*01_Parametros_Mestre!$C$23</f>
        <v>-31740</v>
      </c>
      <c r="G11" s="56" t="n">
        <f aca="false">-G7*01_Parametros_Mestre!$C$23</f>
        <v>-42320</v>
      </c>
      <c r="H11" s="56" t="n">
        <f aca="false">-H7*01_Parametros_Mestre!$C$23</f>
        <v>-52900</v>
      </c>
      <c r="I11" s="56" t="n">
        <f aca="false">-I7*01_Parametros_Mestre!$C$23</f>
        <v>-63480</v>
      </c>
      <c r="J11" s="56" t="n">
        <f aca="false">-J7*01_Parametros_Mestre!$C$23</f>
        <v>-79350</v>
      </c>
      <c r="K11" s="56" t="n">
        <f aca="false">-K7*01_Parametros_Mestre!$C$23</f>
        <v>-105800</v>
      </c>
      <c r="L11" s="56" t="n">
        <f aca="false">-L7*01_Parametros_Mestre!$C$23</f>
        <v>-148120</v>
      </c>
      <c r="M11" s="56" t="n">
        <f aca="false">-M7*01_Parametros_Mestre!$C$23</f>
        <v>-185150</v>
      </c>
      <c r="N11" s="56" t="n">
        <f aca="false">-N7*01_Parametros_Mestre!$C$23</f>
        <v>-222180</v>
      </c>
      <c r="O11" s="56" t="n">
        <f aca="false">SUM(C11:N11)</f>
        <v>-981295</v>
      </c>
    </row>
    <row r="12" customFormat="false" ht="15" hidden="false" customHeight="true" outlineLevel="0" collapsed="false">
      <c r="B12" s="122" t="s">
        <v>768</v>
      </c>
      <c r="C12" s="109" t="n">
        <f aca="false">C10+C11</f>
        <v>13215</v>
      </c>
      <c r="D12" s="109" t="n">
        <f aca="false">D10+D11</f>
        <v>26430</v>
      </c>
      <c r="E12" s="109" t="n">
        <f aca="false">E10+E11</f>
        <v>44050</v>
      </c>
      <c r="F12" s="109" t="n">
        <f aca="false">F10+F11</f>
        <v>52860</v>
      </c>
      <c r="G12" s="109" t="n">
        <f aca="false">G10+G11</f>
        <v>70480</v>
      </c>
      <c r="H12" s="109" t="n">
        <f aca="false">H10+H11</f>
        <v>88100</v>
      </c>
      <c r="I12" s="109" t="n">
        <f aca="false">I10+I11</f>
        <v>105720</v>
      </c>
      <c r="J12" s="109" t="n">
        <f aca="false">J10+J11</f>
        <v>132150</v>
      </c>
      <c r="K12" s="109" t="n">
        <f aca="false">K10+K11</f>
        <v>176200</v>
      </c>
      <c r="L12" s="109" t="n">
        <f aca="false">L10+L11</f>
        <v>246680</v>
      </c>
      <c r="M12" s="109" t="n">
        <f aca="false">M10+M11</f>
        <v>308350</v>
      </c>
      <c r="N12" s="109" t="n">
        <f aca="false">N10+N11</f>
        <v>370020</v>
      </c>
      <c r="O12" s="109" t="n">
        <f aca="false">SUM(C12:N12)</f>
        <v>1634255</v>
      </c>
    </row>
    <row r="13" customFormat="false" ht="15" hidden="false" customHeight="true" outlineLevel="0" collapsed="false">
      <c r="B13" s="123" t="s">
        <v>723</v>
      </c>
      <c r="C13" s="64" t="n">
        <f aca="false">IFERROR(C12/C8,0)</f>
        <v>0.587333333333333</v>
      </c>
      <c r="D13" s="64" t="n">
        <f aca="false">IFERROR(D12/D8,0)</f>
        <v>0.587333333333333</v>
      </c>
      <c r="E13" s="64" t="n">
        <f aca="false">IFERROR(E12/E8,0)</f>
        <v>0.587333333333333</v>
      </c>
      <c r="F13" s="64" t="n">
        <f aca="false">IFERROR(F12/F8,0)</f>
        <v>0.587333333333333</v>
      </c>
      <c r="G13" s="64" t="n">
        <f aca="false">IFERROR(G12/G8,0)</f>
        <v>0.587333333333333</v>
      </c>
      <c r="H13" s="64" t="n">
        <f aca="false">IFERROR(H12/H8,0)</f>
        <v>0.587333333333333</v>
      </c>
      <c r="I13" s="64" t="n">
        <f aca="false">IFERROR(I12/I8,0)</f>
        <v>0.587333333333333</v>
      </c>
      <c r="J13" s="64" t="n">
        <f aca="false">IFERROR(J12/J8,0)</f>
        <v>0.587333333333333</v>
      </c>
      <c r="K13" s="64" t="n">
        <f aca="false">IFERROR(K12/K8,0)</f>
        <v>0.587333333333333</v>
      </c>
      <c r="L13" s="64" t="n">
        <f aca="false">IFERROR(L12/L8,0)</f>
        <v>0.587333333333333</v>
      </c>
      <c r="M13" s="64" t="n">
        <f aca="false">IFERROR(M12/M8,0)</f>
        <v>0.587333333333333</v>
      </c>
      <c r="N13" s="64" t="n">
        <f aca="false">IFERROR(N12/N8,0)</f>
        <v>0.587333333333333</v>
      </c>
      <c r="O13" s="57" t="n">
        <f aca="false">IFERROR(O12/O8,0)</f>
        <v>0.587333333333333</v>
      </c>
    </row>
    <row r="14" customFormat="false" ht="23.25" hidden="false" customHeight="true" outlineLevel="0" collapsed="false">
      <c r="B14" s="10" t="s">
        <v>769</v>
      </c>
      <c r="C14" s="25" t="n">
        <v>-18000</v>
      </c>
      <c r="D14" s="25" t="n">
        <v>-20000</v>
      </c>
      <c r="E14" s="25" t="n">
        <v>-22000</v>
      </c>
      <c r="F14" s="25" t="n">
        <v>-25000</v>
      </c>
      <c r="G14" s="25" t="n">
        <v>-28000</v>
      </c>
      <c r="H14" s="25" t="n">
        <v>-32000</v>
      </c>
      <c r="I14" s="25" t="n">
        <v>-38000</v>
      </c>
      <c r="J14" s="25" t="n">
        <v>-45000</v>
      </c>
      <c r="K14" s="25" t="n">
        <v>-55000</v>
      </c>
      <c r="L14" s="25" t="n">
        <v>-70000</v>
      </c>
      <c r="M14" s="25" t="n">
        <v>-85000</v>
      </c>
      <c r="N14" s="25" t="n">
        <v>-100000</v>
      </c>
      <c r="O14" s="56" t="n">
        <f aca="false">SUM(C14:N14)</f>
        <v>-538000</v>
      </c>
    </row>
    <row r="15" customFormat="false" ht="23.25" hidden="false" customHeight="true" outlineLevel="0" collapsed="false">
      <c r="B15" s="40" t="s">
        <v>770</v>
      </c>
      <c r="C15" s="31" t="n">
        <f aca="false">C12+C14</f>
        <v>-4785</v>
      </c>
      <c r="D15" s="31" t="n">
        <f aca="false">D12+D14</f>
        <v>6430</v>
      </c>
      <c r="E15" s="31" t="n">
        <f aca="false">E12+E14</f>
        <v>22050</v>
      </c>
      <c r="F15" s="31" t="n">
        <f aca="false">F12+F14</f>
        <v>27860</v>
      </c>
      <c r="G15" s="31" t="n">
        <f aca="false">G12+G14</f>
        <v>42480</v>
      </c>
      <c r="H15" s="31" t="n">
        <f aca="false">H12+H14</f>
        <v>56100</v>
      </c>
      <c r="I15" s="31" t="n">
        <f aca="false">I12+I14</f>
        <v>67720</v>
      </c>
      <c r="J15" s="31" t="n">
        <f aca="false">J12+J14</f>
        <v>87150</v>
      </c>
      <c r="K15" s="31" t="n">
        <f aca="false">K12+K14</f>
        <v>121200</v>
      </c>
      <c r="L15" s="31" t="n">
        <f aca="false">L12+L14</f>
        <v>176680</v>
      </c>
      <c r="M15" s="31" t="n">
        <f aca="false">M12+M14</f>
        <v>223350</v>
      </c>
      <c r="N15" s="31" t="n">
        <f aca="false">N12+N14</f>
        <v>270020</v>
      </c>
      <c r="O15" s="31" t="n">
        <f aca="false">SUM(C15:N15)</f>
        <v>1096255</v>
      </c>
    </row>
    <row r="16" customFormat="false" ht="15" hidden="false" customHeight="true" outlineLevel="0" collapsed="false">
      <c r="B16" s="123" t="s">
        <v>771</v>
      </c>
      <c r="C16" s="64" t="n">
        <f aca="false">IFERROR(C15/C8,0)</f>
        <v>-0.212666666666667</v>
      </c>
      <c r="D16" s="64" t="n">
        <f aca="false">IFERROR(D15/D8,0)</f>
        <v>0.142888888888889</v>
      </c>
      <c r="E16" s="64" t="n">
        <f aca="false">IFERROR(E15/E8,0)</f>
        <v>0.294</v>
      </c>
      <c r="F16" s="64" t="n">
        <f aca="false">IFERROR(F15/F8,0)</f>
        <v>0.309555555555556</v>
      </c>
      <c r="G16" s="64" t="n">
        <f aca="false">IFERROR(G15/G8,0)</f>
        <v>0.354</v>
      </c>
      <c r="H16" s="64" t="n">
        <f aca="false">IFERROR(H15/H8,0)</f>
        <v>0.374</v>
      </c>
      <c r="I16" s="64" t="n">
        <f aca="false">IFERROR(I15/I8,0)</f>
        <v>0.376222222222222</v>
      </c>
      <c r="J16" s="64" t="n">
        <f aca="false">IFERROR(J15/J8,0)</f>
        <v>0.387333333333333</v>
      </c>
      <c r="K16" s="64" t="n">
        <f aca="false">IFERROR(K15/K8,0)</f>
        <v>0.404</v>
      </c>
      <c r="L16" s="64" t="n">
        <f aca="false">IFERROR(L15/L8,0)</f>
        <v>0.420666666666667</v>
      </c>
      <c r="M16" s="64" t="n">
        <f aca="false">IFERROR(M15/M8,0)</f>
        <v>0.425428571428571</v>
      </c>
      <c r="N16" s="64" t="n">
        <f aca="false">IFERROR(N15/N8,0)</f>
        <v>0.428603174603175</v>
      </c>
    </row>
    <row r="17" customFormat="false" ht="23.25" hidden="false" customHeight="true" outlineLevel="0" collapsed="false">
      <c r="B17" s="24" t="s">
        <v>772</v>
      </c>
      <c r="C17" s="109" t="n">
        <f aca="false">C15</f>
        <v>-4785</v>
      </c>
      <c r="D17" s="109" t="n">
        <f aca="false">C17+D15</f>
        <v>1645</v>
      </c>
      <c r="E17" s="109" t="n">
        <f aca="false">D17+E15</f>
        <v>23695</v>
      </c>
      <c r="F17" s="109" t="n">
        <f aca="false">E17+F15</f>
        <v>51555</v>
      </c>
      <c r="G17" s="109" t="n">
        <f aca="false">F17+G15</f>
        <v>94035</v>
      </c>
      <c r="H17" s="109" t="n">
        <f aca="false">G17+H15</f>
        <v>150135</v>
      </c>
      <c r="I17" s="109" t="n">
        <f aca="false">H17+I15</f>
        <v>217855</v>
      </c>
      <c r="J17" s="109" t="n">
        <f aca="false">I17+J15</f>
        <v>305005</v>
      </c>
      <c r="K17" s="109" t="n">
        <f aca="false">J17+K15</f>
        <v>426205</v>
      </c>
      <c r="L17" s="109" t="n">
        <f aca="false">K17+L15</f>
        <v>602885</v>
      </c>
      <c r="M17" s="109" t="n">
        <f aca="false">L17+M15</f>
        <v>826235</v>
      </c>
      <c r="N17" s="109" t="n">
        <f aca="false">M17+N15</f>
        <v>1096255</v>
      </c>
      <c r="O17" s="77"/>
    </row>
    <row r="19" customFormat="false" ht="15" hidden="false" customHeight="true" outlineLevel="0" collapsed="false">
      <c r="B19" s="6" t="s">
        <v>773</v>
      </c>
      <c r="C19" s="6"/>
      <c r="D19" s="6"/>
      <c r="E19" s="6"/>
      <c r="F19" s="6"/>
    </row>
    <row r="20" customFormat="false" ht="15" hidden="false" customHeight="true" outlineLevel="0" collapsed="false">
      <c r="B20" s="37" t="s">
        <v>774</v>
      </c>
      <c r="C20" s="37"/>
      <c r="D20" s="102" t="n">
        <f aca="false">O7</f>
        <v>1855</v>
      </c>
      <c r="E20" s="102"/>
      <c r="F20" s="102"/>
    </row>
    <row r="21" customFormat="false" ht="15" hidden="false" customHeight="true" outlineLevel="0" collapsed="false">
      <c r="B21" s="37" t="s">
        <v>775</v>
      </c>
      <c r="C21" s="37"/>
      <c r="D21" s="61" t="n">
        <f aca="false">O8</f>
        <v>2782500</v>
      </c>
      <c r="E21" s="61"/>
      <c r="F21" s="61"/>
    </row>
    <row r="22" customFormat="false" ht="15" hidden="false" customHeight="true" outlineLevel="0" collapsed="false">
      <c r="B22" s="37" t="s">
        <v>776</v>
      </c>
      <c r="C22" s="37"/>
      <c r="D22" s="61" t="n">
        <f aca="false">O12</f>
        <v>1634255</v>
      </c>
      <c r="E22" s="61"/>
      <c r="F22" s="61"/>
    </row>
    <row r="23" customFormat="false" ht="15" hidden="false" customHeight="true" outlineLevel="0" collapsed="false">
      <c r="B23" s="37" t="s">
        <v>777</v>
      </c>
      <c r="C23" s="37"/>
      <c r="D23" s="61" t="n">
        <f aca="false">O15</f>
        <v>1096255</v>
      </c>
      <c r="E23" s="61"/>
      <c r="F23" s="61"/>
    </row>
    <row r="24" customFormat="false" ht="15" hidden="false" customHeight="true" outlineLevel="0" collapsed="false">
      <c r="B24" s="37" t="s">
        <v>778</v>
      </c>
      <c r="C24" s="37"/>
      <c r="D24" s="61" t="n">
        <f aca="false">N17</f>
        <v>1096255</v>
      </c>
      <c r="E24" s="61"/>
      <c r="F24" s="61"/>
    </row>
    <row r="25" customFormat="false" ht="15" hidden="false" customHeight="true" outlineLevel="0" collapsed="false">
      <c r="B25" s="37" t="s">
        <v>779</v>
      </c>
      <c r="C25" s="37"/>
      <c r="D25" s="61" t="n">
        <f aca="false">O8/O7</f>
        <v>1500</v>
      </c>
      <c r="E25" s="61"/>
      <c r="F25" s="61"/>
    </row>
    <row r="26" customFormat="false" ht="15" hidden="false" customHeight="true" outlineLevel="0" collapsed="false">
      <c r="B26" s="37" t="s">
        <v>723</v>
      </c>
      <c r="C26" s="37"/>
      <c r="D26" s="62" t="n">
        <f aca="false">O12/O8</f>
        <v>0.587333333333333</v>
      </c>
      <c r="E26" s="62"/>
      <c r="F26" s="62"/>
    </row>
    <row r="27" customFormat="false" ht="15" hidden="false" customHeight="true" outlineLevel="0" collapsed="false">
      <c r="B27" s="37" t="s">
        <v>771</v>
      </c>
      <c r="C27" s="37"/>
      <c r="D27" s="62" t="n">
        <f aca="false">O15/O8</f>
        <v>0.393982030548068</v>
      </c>
      <c r="E27" s="62"/>
      <c r="F27" s="62"/>
    </row>
  </sheetData>
  <mergeCells count="19">
    <mergeCell ref="B2:O2"/>
    <mergeCell ref="B3:O3"/>
    <mergeCell ref="B19:F19"/>
    <mergeCell ref="B20:C20"/>
    <mergeCell ref="D20:F20"/>
    <mergeCell ref="B21:C21"/>
    <mergeCell ref="D21:F21"/>
    <mergeCell ref="B22:C22"/>
    <mergeCell ref="D22:F22"/>
    <mergeCell ref="B23:C23"/>
    <mergeCell ref="D23:F23"/>
    <mergeCell ref="B24:C24"/>
    <mergeCell ref="D24:F24"/>
    <mergeCell ref="B25:C25"/>
    <mergeCell ref="D25:F25"/>
    <mergeCell ref="B26:C26"/>
    <mergeCell ref="D26:F26"/>
    <mergeCell ref="B27:C27"/>
    <mergeCell ref="D27:F2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J3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
    <col collapsed="false" customWidth="true" hidden="false" outlineLevel="0" max="2" min="2" style="1" width="30"/>
    <col collapsed="false" customWidth="true" hidden="false" outlineLevel="0" max="4" min="3" style="1" width="12"/>
    <col collapsed="false" customWidth="true" hidden="false" outlineLevel="0" max="5" min="5" style="1" width="13"/>
    <col collapsed="false" customWidth="true" hidden="false" outlineLevel="0" max="9" min="6" style="1" width="14"/>
    <col collapsed="false" customWidth="true" hidden="false" outlineLevel="0" max="10" min="10" style="1" width="38"/>
    <col collapsed="false" customWidth="true" hidden="false" outlineLevel="0" max="11" min="11" style="1" width="3"/>
  </cols>
  <sheetData>
    <row r="2" customFormat="false" ht="19.5" hidden="false" customHeight="true" outlineLevel="0" collapsed="false">
      <c r="B2" s="22" t="s">
        <v>780</v>
      </c>
      <c r="C2" s="22"/>
      <c r="D2" s="22"/>
      <c r="E2" s="22"/>
      <c r="F2" s="22"/>
      <c r="G2" s="22"/>
      <c r="H2" s="22"/>
      <c r="I2" s="22"/>
      <c r="J2" s="22"/>
    </row>
    <row r="3" customFormat="false" ht="15" hidden="false" customHeight="true" outlineLevel="0" collapsed="false">
      <c r="B3" s="23" t="s">
        <v>781</v>
      </c>
      <c r="C3" s="23"/>
      <c r="D3" s="23"/>
      <c r="E3" s="23"/>
      <c r="F3" s="23"/>
      <c r="G3" s="23"/>
      <c r="H3" s="23"/>
      <c r="I3" s="23"/>
      <c r="J3" s="23"/>
    </row>
    <row r="5" customFormat="false" ht="15" hidden="false" customHeight="true" outlineLevel="0" collapsed="false">
      <c r="B5" s="6" t="s">
        <v>782</v>
      </c>
      <c r="C5" s="6"/>
      <c r="D5" s="6"/>
      <c r="E5" s="6"/>
      <c r="F5" s="6"/>
      <c r="G5" s="6"/>
      <c r="H5" s="6"/>
      <c r="I5" s="6"/>
      <c r="J5" s="6"/>
    </row>
    <row r="6" customFormat="false" ht="15" hidden="false" customHeight="true" outlineLevel="0" collapsed="false">
      <c r="B6" s="6" t="s">
        <v>783</v>
      </c>
      <c r="C6" s="6" t="s">
        <v>784</v>
      </c>
      <c r="D6" s="6" t="s">
        <v>100</v>
      </c>
      <c r="E6" s="6" t="s">
        <v>785</v>
      </c>
      <c r="F6" s="6"/>
      <c r="G6" s="6"/>
      <c r="H6" s="6"/>
      <c r="I6" s="6"/>
      <c r="J6" s="6" t="s">
        <v>261</v>
      </c>
    </row>
    <row r="7" customFormat="false" ht="15" hidden="false" customHeight="true" outlineLevel="0" collapsed="false">
      <c r="B7" s="10" t="s">
        <v>786</v>
      </c>
      <c r="C7" s="25" t="n">
        <v>1500</v>
      </c>
      <c r="D7" s="124" t="s">
        <v>170</v>
      </c>
      <c r="E7" s="28" t="s">
        <v>196</v>
      </c>
      <c r="F7" s="28"/>
      <c r="G7" s="28"/>
      <c r="H7" s="28"/>
      <c r="I7" s="28"/>
      <c r="J7" s="28"/>
    </row>
    <row r="8" customFormat="false" ht="15" hidden="false" customHeight="true" outlineLevel="0" collapsed="false">
      <c r="B8" s="10" t="s">
        <v>787</v>
      </c>
      <c r="C8" s="25" t="n">
        <v>529</v>
      </c>
      <c r="D8" s="124" t="s">
        <v>170</v>
      </c>
      <c r="E8" s="28" t="s">
        <v>196</v>
      </c>
      <c r="F8" s="28"/>
      <c r="G8" s="28"/>
      <c r="H8" s="28"/>
      <c r="I8" s="28"/>
      <c r="J8" s="28"/>
    </row>
    <row r="9" customFormat="false" ht="15" hidden="false" customHeight="true" outlineLevel="0" collapsed="false">
      <c r="B9" s="10" t="s">
        <v>788</v>
      </c>
      <c r="C9" s="125" t="n">
        <v>36.79</v>
      </c>
      <c r="D9" s="124" t="s">
        <v>122</v>
      </c>
      <c r="E9" s="28" t="s">
        <v>196</v>
      </c>
      <c r="F9" s="28"/>
      <c r="G9" s="28"/>
      <c r="H9" s="28"/>
      <c r="I9" s="28"/>
      <c r="J9" s="28"/>
    </row>
    <row r="10" customFormat="false" ht="15" hidden="false" customHeight="true" outlineLevel="0" collapsed="false">
      <c r="B10" s="10" t="s">
        <v>789</v>
      </c>
      <c r="C10" s="126" t="n">
        <v>15</v>
      </c>
      <c r="D10" s="124" t="s">
        <v>118</v>
      </c>
      <c r="E10" s="28" t="s">
        <v>196</v>
      </c>
      <c r="F10" s="28"/>
      <c r="G10" s="28"/>
      <c r="H10" s="28"/>
      <c r="I10" s="28"/>
      <c r="J10" s="28"/>
    </row>
    <row r="11" customFormat="false" ht="15" hidden="false" customHeight="true" outlineLevel="0" collapsed="false">
      <c r="B11" s="10" t="s">
        <v>790</v>
      </c>
      <c r="C11" s="126" t="n">
        <v>50</v>
      </c>
      <c r="D11" s="124" t="s">
        <v>190</v>
      </c>
      <c r="E11" s="28" t="s">
        <v>791</v>
      </c>
      <c r="F11" s="28"/>
      <c r="G11" s="28"/>
      <c r="H11" s="28"/>
      <c r="I11" s="28"/>
      <c r="J11" s="28"/>
    </row>
    <row r="12" customFormat="false" ht="15" hidden="false" customHeight="true" outlineLevel="0" collapsed="false">
      <c r="B12" s="10" t="s">
        <v>792</v>
      </c>
      <c r="C12" s="125" t="n">
        <v>25000</v>
      </c>
      <c r="D12" s="124" t="s">
        <v>106</v>
      </c>
      <c r="E12" s="28" t="s">
        <v>793</v>
      </c>
      <c r="F12" s="28"/>
      <c r="G12" s="28"/>
      <c r="H12" s="28"/>
      <c r="I12" s="28"/>
      <c r="J12" s="28"/>
    </row>
    <row r="13" customFormat="false" ht="15" hidden="false" customHeight="true" outlineLevel="0" collapsed="false">
      <c r="B13" s="10" t="s">
        <v>794</v>
      </c>
      <c r="C13" s="125" t="n">
        <v>966.67</v>
      </c>
      <c r="D13" s="124" t="s">
        <v>795</v>
      </c>
      <c r="E13" s="28" t="s">
        <v>796</v>
      </c>
      <c r="F13" s="28"/>
      <c r="G13" s="28"/>
      <c r="H13" s="28"/>
      <c r="I13" s="28"/>
      <c r="J13" s="28"/>
    </row>
    <row r="14" customFormat="false" ht="15" hidden="false" customHeight="true" outlineLevel="0" collapsed="false">
      <c r="B14" s="10" t="s">
        <v>797</v>
      </c>
      <c r="C14" s="34" t="n">
        <v>0.9</v>
      </c>
      <c r="D14" s="124" t="s">
        <v>163</v>
      </c>
      <c r="E14" s="28" t="s">
        <v>798</v>
      </c>
      <c r="F14" s="28"/>
      <c r="G14" s="28"/>
      <c r="H14" s="28"/>
      <c r="I14" s="28"/>
      <c r="J14" s="28"/>
    </row>
    <row r="16" customFormat="false" ht="15" hidden="false" customHeight="true" outlineLevel="0" collapsed="false">
      <c r="B16" s="50" t="s">
        <v>799</v>
      </c>
      <c r="C16" s="50"/>
      <c r="D16" s="50"/>
      <c r="E16" s="50"/>
      <c r="F16" s="50"/>
      <c r="G16" s="50"/>
      <c r="H16" s="50"/>
      <c r="I16" s="50"/>
      <c r="J16" s="50"/>
    </row>
    <row r="17" customFormat="false" ht="26.25" hidden="false" customHeight="true" outlineLevel="0" collapsed="false">
      <c r="B17" s="6" t="s">
        <v>783</v>
      </c>
      <c r="C17" s="6" t="s">
        <v>800</v>
      </c>
      <c r="D17" s="6" t="s">
        <v>801</v>
      </c>
      <c r="E17" s="6" t="s">
        <v>802</v>
      </c>
      <c r="F17" s="6" t="s">
        <v>803</v>
      </c>
      <c r="G17" s="6" t="s">
        <v>804</v>
      </c>
      <c r="H17" s="6" t="s">
        <v>805</v>
      </c>
      <c r="I17" s="6" t="s">
        <v>806</v>
      </c>
      <c r="J17" s="6" t="s">
        <v>807</v>
      </c>
    </row>
    <row r="18" customFormat="false" ht="15" hidden="false" customHeight="true" outlineLevel="0" collapsed="false">
      <c r="B18" s="37" t="s">
        <v>786</v>
      </c>
      <c r="C18" s="48" t="n">
        <f aca="false">C7</f>
        <v>1500</v>
      </c>
      <c r="D18" s="56" t="n">
        <f aca="false">C7*0.8</f>
        <v>1200</v>
      </c>
      <c r="E18" s="127" t="n">
        <f aca="false">(C7*0.8)-C8</f>
        <v>671</v>
      </c>
      <c r="F18" s="56" t="n">
        <f aca="false">C7*1.2</f>
        <v>1800</v>
      </c>
      <c r="G18" s="61" t="n">
        <f aca="false">(C7*1.2)-C8</f>
        <v>1271</v>
      </c>
      <c r="H18" s="31" t="n">
        <f aca="false">ABS(G18-E18)</f>
        <v>600</v>
      </c>
      <c r="I18" s="128" t="n">
        <f aca="false">RANK(H18,$H$18:$H$22)</f>
        <v>1</v>
      </c>
      <c r="J18" s="51" t="s">
        <v>808</v>
      </c>
    </row>
    <row r="19" customFormat="false" ht="15" hidden="false" customHeight="true" outlineLevel="0" collapsed="false">
      <c r="B19" s="37" t="s">
        <v>809</v>
      </c>
      <c r="C19" s="48" t="n">
        <f aca="false">C8</f>
        <v>529</v>
      </c>
      <c r="D19" s="56" t="n">
        <f aca="false">C8*0.8</f>
        <v>423.2</v>
      </c>
      <c r="E19" s="127" t="n">
        <f aca="false">C7-(C8*0.8)</f>
        <v>1076.8</v>
      </c>
      <c r="F19" s="56" t="n">
        <f aca="false">C8*1.2</f>
        <v>634.8</v>
      </c>
      <c r="G19" s="61" t="n">
        <f aca="false">C7-(C8*1.2)</f>
        <v>865.2</v>
      </c>
      <c r="H19" s="31" t="n">
        <f aca="false">ABS(G19-E19)</f>
        <v>211.6</v>
      </c>
      <c r="I19" s="128" t="n">
        <f aca="false">RANK(H19,$H$18:$H$22)</f>
        <v>4</v>
      </c>
      <c r="J19" s="51" t="s">
        <v>810</v>
      </c>
    </row>
    <row r="20" customFormat="false" ht="15" hidden="false" customHeight="true" outlineLevel="0" collapsed="false">
      <c r="B20" s="37" t="s">
        <v>788</v>
      </c>
      <c r="C20" s="129" t="n">
        <f aca="false">C9</f>
        <v>36.79</v>
      </c>
      <c r="D20" s="130" t="n">
        <f aca="false">C9*0.8</f>
        <v>29.432</v>
      </c>
      <c r="E20" s="31" t="n">
        <f aca="false">C7-(C10*(C9*0.8)+42)</f>
        <v>1016.52</v>
      </c>
      <c r="F20" s="130" t="n">
        <f aca="false">C9*1.2</f>
        <v>44.148</v>
      </c>
      <c r="G20" s="31" t="n">
        <f aca="false">C7-(C10*(C9*1.2)+42)</f>
        <v>795.78</v>
      </c>
      <c r="H20" s="31" t="n">
        <f aca="false">ABS(G20-E20)</f>
        <v>220.74</v>
      </c>
      <c r="I20" s="128" t="n">
        <f aca="false">RANK(H20,$H$18:$H$22)</f>
        <v>3</v>
      </c>
      <c r="J20" s="51" t="s">
        <v>811</v>
      </c>
    </row>
    <row r="21" customFormat="false" ht="15" hidden="false" customHeight="true" outlineLevel="0" collapsed="false">
      <c r="B21" s="37" t="s">
        <v>812</v>
      </c>
      <c r="C21" s="131" t="n">
        <f aca="false">C10</f>
        <v>15</v>
      </c>
      <c r="D21" s="130" t="n">
        <f aca="false">C10*0.8</f>
        <v>12</v>
      </c>
      <c r="E21" s="31" t="n">
        <f aca="false">C7-((C10*0.8)*C9+42)</f>
        <v>1016.52</v>
      </c>
      <c r="F21" s="130" t="n">
        <f aca="false">C10*1.2</f>
        <v>18</v>
      </c>
      <c r="G21" s="31" t="n">
        <f aca="false">C7-((C10*1.2)*C9+42)</f>
        <v>795.78</v>
      </c>
      <c r="H21" s="31" t="n">
        <f aca="false">ABS(G21-E21)</f>
        <v>220.74</v>
      </c>
      <c r="I21" s="128" t="n">
        <f aca="false">RANK(H21,$H$18:$H$22)</f>
        <v>2</v>
      </c>
      <c r="J21" s="51" t="s">
        <v>813</v>
      </c>
    </row>
    <row r="22" customFormat="false" ht="15" hidden="false" customHeight="true" outlineLevel="0" collapsed="false">
      <c r="B22" s="37" t="s">
        <v>814</v>
      </c>
      <c r="C22" s="48" t="n">
        <f aca="false">C12</f>
        <v>25000</v>
      </c>
      <c r="D22" s="56" t="n">
        <f aca="false">C12*0.8</f>
        <v>20000</v>
      </c>
      <c r="E22" s="31" t="n">
        <f aca="false">C7-C8</f>
        <v>971</v>
      </c>
      <c r="F22" s="56" t="n">
        <f aca="false">C12*1.2</f>
        <v>30000</v>
      </c>
      <c r="G22" s="31" t="n">
        <f aca="false">C7-C8</f>
        <v>971</v>
      </c>
      <c r="H22" s="31" t="n">
        <f aca="false">ABS(G22-E22)</f>
        <v>0</v>
      </c>
      <c r="I22" s="128" t="n">
        <f aca="false">RANK(H22,$H$18:$H$22)</f>
        <v>5</v>
      </c>
      <c r="J22" s="51" t="s">
        <v>815</v>
      </c>
    </row>
    <row r="24" customFormat="false" ht="15" hidden="false" customHeight="true" outlineLevel="0" collapsed="false">
      <c r="B24" s="50" t="s">
        <v>816</v>
      </c>
      <c r="C24" s="50"/>
      <c r="D24" s="50"/>
      <c r="E24" s="50"/>
      <c r="F24" s="50"/>
      <c r="G24" s="50"/>
      <c r="H24" s="50"/>
      <c r="I24" s="50"/>
      <c r="J24" s="50"/>
    </row>
    <row r="25" customFormat="false" ht="26.25" hidden="false" customHeight="true" outlineLevel="0" collapsed="false">
      <c r="B25" s="6" t="s">
        <v>342</v>
      </c>
      <c r="C25" s="6" t="s">
        <v>817</v>
      </c>
      <c r="D25" s="6" t="s">
        <v>818</v>
      </c>
      <c r="E25" s="6" t="s">
        <v>819</v>
      </c>
      <c r="F25" s="6" t="s">
        <v>820</v>
      </c>
      <c r="G25" s="6" t="s">
        <v>821</v>
      </c>
      <c r="H25" s="6" t="s">
        <v>822</v>
      </c>
      <c r="I25" s="6" t="s">
        <v>823</v>
      </c>
      <c r="J25" s="6" t="s">
        <v>630</v>
      </c>
    </row>
    <row r="26" customFormat="false" ht="21.75" hidden="false" customHeight="true" outlineLevel="0" collapsed="false">
      <c r="B26" s="132" t="s">
        <v>824</v>
      </c>
      <c r="C26" s="25" t="n">
        <v>1200</v>
      </c>
      <c r="D26" s="25" t="n">
        <v>635</v>
      </c>
      <c r="E26" s="25" t="n">
        <v>30000</v>
      </c>
      <c r="F26" s="33" t="n">
        <v>30</v>
      </c>
      <c r="G26" s="31" t="n">
        <f aca="false">C26-D26</f>
        <v>565</v>
      </c>
      <c r="H26" s="31" t="n">
        <f aca="false">F26*G26-E26</f>
        <v>-13050</v>
      </c>
      <c r="I26" s="49" t="n">
        <f aca="false">IF(G26&gt;0,E26/G26,9999)</f>
        <v>53.0973451327434</v>
      </c>
      <c r="J26" s="51" t="s">
        <v>825</v>
      </c>
    </row>
    <row r="27" customFormat="false" ht="15" hidden="false" customHeight="true" outlineLevel="0" collapsed="false">
      <c r="B27" s="58" t="s">
        <v>826</v>
      </c>
      <c r="C27" s="25" t="n">
        <v>1500</v>
      </c>
      <c r="D27" s="25" t="n">
        <v>529</v>
      </c>
      <c r="E27" s="25" t="n">
        <v>25000</v>
      </c>
      <c r="F27" s="33" t="n">
        <v>50</v>
      </c>
      <c r="G27" s="31" t="n">
        <f aca="false">C27-D27</f>
        <v>971</v>
      </c>
      <c r="H27" s="31" t="n">
        <f aca="false">F27*G27-E27</f>
        <v>23550</v>
      </c>
      <c r="I27" s="49" t="n">
        <f aca="false">IF(G27&gt;0,E27/G27,9999)</f>
        <v>25.7466529351184</v>
      </c>
      <c r="J27" s="51" t="s">
        <v>827</v>
      </c>
    </row>
    <row r="28" customFormat="false" ht="21.75" hidden="false" customHeight="true" outlineLevel="0" collapsed="false">
      <c r="B28" s="100" t="s">
        <v>828</v>
      </c>
      <c r="C28" s="25" t="n">
        <v>1500</v>
      </c>
      <c r="D28" s="25" t="n">
        <v>440</v>
      </c>
      <c r="E28" s="25" t="n">
        <v>22000</v>
      </c>
      <c r="F28" s="33" t="n">
        <v>80</v>
      </c>
      <c r="G28" s="31" t="n">
        <f aca="false">C28-D28</f>
        <v>1060</v>
      </c>
      <c r="H28" s="31" t="n">
        <f aca="false">F28*G28-E28</f>
        <v>62800</v>
      </c>
      <c r="I28" s="49" t="n">
        <f aca="false">IF(G28&gt;0,E28/G28,9999)</f>
        <v>20.7547169811321</v>
      </c>
      <c r="J28" s="51" t="s">
        <v>829</v>
      </c>
    </row>
    <row r="29" customFormat="false" ht="23.25" hidden="false" customHeight="true" outlineLevel="0" collapsed="false">
      <c r="B29" s="37" t="s">
        <v>830</v>
      </c>
      <c r="C29" s="25" t="n">
        <v>1000</v>
      </c>
      <c r="D29" s="25" t="n">
        <v>529</v>
      </c>
      <c r="E29" s="25" t="n">
        <v>25000</v>
      </c>
      <c r="F29" s="33" t="n">
        <v>50</v>
      </c>
      <c r="G29" s="31" t="n">
        <f aca="false">C29-D29</f>
        <v>471</v>
      </c>
      <c r="H29" s="31" t="n">
        <f aca="false">F29*G29-E29</f>
        <v>-1450</v>
      </c>
      <c r="I29" s="49" t="n">
        <f aca="false">IF(G29&gt;0,E29/G29,9999)</f>
        <v>53.0785562632696</v>
      </c>
      <c r="J29" s="51" t="s">
        <v>831</v>
      </c>
    </row>
    <row r="30" customFormat="false" ht="21.75" hidden="false" customHeight="true" outlineLevel="0" collapsed="false">
      <c r="B30" s="37" t="s">
        <v>832</v>
      </c>
      <c r="C30" s="25" t="n">
        <v>1500</v>
      </c>
      <c r="D30" s="25" t="n">
        <v>1060</v>
      </c>
      <c r="E30" s="25" t="n">
        <v>25000</v>
      </c>
      <c r="F30" s="33" t="n">
        <v>50</v>
      </c>
      <c r="G30" s="31" t="n">
        <f aca="false">C30-D30</f>
        <v>440</v>
      </c>
      <c r="H30" s="31" t="n">
        <f aca="false">F30*G30-E30</f>
        <v>-3000</v>
      </c>
      <c r="I30" s="49" t="n">
        <f aca="false">IF(G30&gt;0,E30/G30,9999)</f>
        <v>56.8181818181818</v>
      </c>
      <c r="J30" s="51" t="s">
        <v>833</v>
      </c>
    </row>
    <row r="31" customFormat="false" ht="21.75" hidden="false" customHeight="true" outlineLevel="0" collapsed="false">
      <c r="B31" s="37" t="s">
        <v>834</v>
      </c>
      <c r="C31" s="25" t="n">
        <v>1500</v>
      </c>
      <c r="D31" s="25" t="n">
        <v>529</v>
      </c>
      <c r="E31" s="25" t="n">
        <v>25000</v>
      </c>
      <c r="F31" s="33" t="n">
        <v>25</v>
      </c>
      <c r="G31" s="31" t="n">
        <f aca="false">C31-D31</f>
        <v>971</v>
      </c>
      <c r="H31" s="31" t="n">
        <f aca="false">F31*G31-E31</f>
        <v>-725</v>
      </c>
      <c r="I31" s="49" t="n">
        <f aca="false">IF(G31&gt;0,E31/G31,9999)</f>
        <v>25.7466529351184</v>
      </c>
      <c r="J31" s="51" t="s">
        <v>835</v>
      </c>
    </row>
  </sheetData>
  <mergeCells count="13">
    <mergeCell ref="B2:J2"/>
    <mergeCell ref="B3:J3"/>
    <mergeCell ref="B5:J5"/>
    <mergeCell ref="E7:J7"/>
    <mergeCell ref="E8:J8"/>
    <mergeCell ref="E9:J9"/>
    <mergeCell ref="E10:J10"/>
    <mergeCell ref="E11:J11"/>
    <mergeCell ref="E12:J12"/>
    <mergeCell ref="E13:J13"/>
    <mergeCell ref="E14:J14"/>
    <mergeCell ref="B16:J16"/>
    <mergeCell ref="B24:J2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I3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3"/>
    <col collapsed="false" customWidth="true" hidden="false" outlineLevel="0" max="2" min="2" style="1" width="20"/>
    <col collapsed="false" customWidth="true" hidden="false" outlineLevel="0" max="5" min="3" style="1" width="38"/>
    <col collapsed="false" customWidth="true" hidden="false" outlineLevel="0" max="6" min="6" style="1" width="28"/>
    <col collapsed="false" customWidth="true" hidden="false" outlineLevel="0" max="8" min="7" style="1" width="12"/>
    <col collapsed="false" customWidth="true" hidden="false" outlineLevel="0" max="9" min="9" style="1" width="3"/>
  </cols>
  <sheetData>
    <row r="2" customFormat="false" ht="19.5" hidden="false" customHeight="true" outlineLevel="0" collapsed="false">
      <c r="B2" s="133" t="s">
        <v>836</v>
      </c>
      <c r="C2" s="133"/>
      <c r="D2" s="133"/>
      <c r="E2" s="133"/>
      <c r="F2" s="133"/>
      <c r="G2" s="133"/>
      <c r="H2" s="133"/>
    </row>
    <row r="3" customFormat="false" ht="15" hidden="false" customHeight="true" outlineLevel="0" collapsed="false">
      <c r="B3" s="23" t="s">
        <v>837</v>
      </c>
      <c r="C3" s="23"/>
      <c r="D3" s="23"/>
      <c r="E3" s="23"/>
      <c r="F3" s="23"/>
      <c r="G3" s="23"/>
      <c r="H3" s="23"/>
    </row>
    <row r="5" customFormat="false" ht="77.25" hidden="false" customHeight="true" outlineLevel="0" collapsed="false">
      <c r="B5" s="134" t="s">
        <v>838</v>
      </c>
      <c r="C5" s="134" t="s">
        <v>839</v>
      </c>
      <c r="D5" s="134" t="s">
        <v>840</v>
      </c>
      <c r="E5" s="134" t="s">
        <v>841</v>
      </c>
      <c r="F5" s="134" t="s">
        <v>842</v>
      </c>
      <c r="G5" s="134" t="s">
        <v>843</v>
      </c>
      <c r="H5" s="134" t="s">
        <v>844</v>
      </c>
      <c r="I5" s="134" t="s">
        <v>845</v>
      </c>
    </row>
    <row r="6" customFormat="false" ht="120" hidden="false" customHeight="true" outlineLevel="0" collapsed="false">
      <c r="B6" s="135" t="s">
        <v>846</v>
      </c>
      <c r="C6" s="136" t="s">
        <v>847</v>
      </c>
      <c r="D6" s="137" t="s">
        <v>848</v>
      </c>
      <c r="E6" s="138" t="s">
        <v>849</v>
      </c>
      <c r="F6" s="139" t="s">
        <v>850</v>
      </c>
      <c r="G6" s="140" t="s">
        <v>851</v>
      </c>
      <c r="H6" s="141" t="n">
        <v>0.85</v>
      </c>
      <c r="I6" s="142" t="s">
        <v>127</v>
      </c>
    </row>
    <row r="7" customFormat="false" ht="120" hidden="false" customHeight="true" outlineLevel="0" collapsed="false">
      <c r="B7" s="135" t="s">
        <v>852</v>
      </c>
      <c r="C7" s="136" t="s">
        <v>853</v>
      </c>
      <c r="D7" s="137" t="s">
        <v>854</v>
      </c>
      <c r="E7" s="138" t="s">
        <v>855</v>
      </c>
      <c r="F7" s="139" t="s">
        <v>856</v>
      </c>
      <c r="G7" s="140" t="s">
        <v>857</v>
      </c>
      <c r="H7" s="141" t="n">
        <v>0.93</v>
      </c>
      <c r="I7" s="143" t="s">
        <v>109</v>
      </c>
    </row>
    <row r="8" customFormat="false" ht="120" hidden="false" customHeight="true" outlineLevel="0" collapsed="false">
      <c r="B8" s="135" t="s">
        <v>858</v>
      </c>
      <c r="C8" s="136" t="s">
        <v>859</v>
      </c>
      <c r="D8" s="137" t="s">
        <v>860</v>
      </c>
      <c r="E8" s="138" t="s">
        <v>861</v>
      </c>
      <c r="F8" s="139" t="s">
        <v>862</v>
      </c>
      <c r="G8" s="140" t="s">
        <v>863</v>
      </c>
      <c r="H8" s="144" t="n">
        <v>0.8</v>
      </c>
      <c r="I8" s="142" t="s">
        <v>127</v>
      </c>
    </row>
    <row r="9" customFormat="false" ht="120" hidden="false" customHeight="true" outlineLevel="0" collapsed="false">
      <c r="B9" s="135" t="s">
        <v>864</v>
      </c>
      <c r="C9" s="136" t="s">
        <v>865</v>
      </c>
      <c r="D9" s="137" t="s">
        <v>866</v>
      </c>
      <c r="E9" s="138" t="s">
        <v>867</v>
      </c>
      <c r="F9" s="139" t="s">
        <v>868</v>
      </c>
      <c r="G9" s="140" t="s">
        <v>869</v>
      </c>
      <c r="H9" s="144" t="n">
        <v>0.82</v>
      </c>
      <c r="I9" s="142" t="s">
        <v>127</v>
      </c>
    </row>
    <row r="10" customFormat="false" ht="120" hidden="false" customHeight="true" outlineLevel="0" collapsed="false">
      <c r="B10" s="135" t="s">
        <v>870</v>
      </c>
      <c r="C10" s="136" t="s">
        <v>871</v>
      </c>
      <c r="D10" s="137" t="s">
        <v>872</v>
      </c>
      <c r="E10" s="138" t="s">
        <v>873</v>
      </c>
      <c r="F10" s="139" t="s">
        <v>874</v>
      </c>
      <c r="G10" s="140" t="s">
        <v>875</v>
      </c>
      <c r="H10" s="144" t="n">
        <v>0.75</v>
      </c>
      <c r="I10" s="74" t="s">
        <v>876</v>
      </c>
    </row>
    <row r="11" customFormat="false" ht="120" hidden="false" customHeight="true" outlineLevel="0" collapsed="false">
      <c r="B11" s="135" t="s">
        <v>877</v>
      </c>
      <c r="C11" s="136" t="s">
        <v>878</v>
      </c>
      <c r="D11" s="137" t="s">
        <v>879</v>
      </c>
      <c r="E11" s="138" t="s">
        <v>880</v>
      </c>
      <c r="F11" s="139" t="s">
        <v>881</v>
      </c>
      <c r="G11" s="140" t="s">
        <v>882</v>
      </c>
      <c r="H11" s="144" t="n">
        <v>0.78</v>
      </c>
      <c r="I11" s="142" t="s">
        <v>127</v>
      </c>
    </row>
    <row r="12" customFormat="false" ht="120" hidden="false" customHeight="true" outlineLevel="0" collapsed="false">
      <c r="B12" s="135" t="s">
        <v>883</v>
      </c>
      <c r="C12" s="136" t="s">
        <v>884</v>
      </c>
      <c r="D12" s="137" t="s">
        <v>885</v>
      </c>
      <c r="E12" s="138" t="s">
        <v>886</v>
      </c>
      <c r="F12" s="139" t="s">
        <v>887</v>
      </c>
      <c r="G12" s="140" t="s">
        <v>888</v>
      </c>
      <c r="H12" s="141" t="n">
        <v>0.85</v>
      </c>
      <c r="I12" s="74" t="s">
        <v>876</v>
      </c>
    </row>
    <row r="13" customFormat="false" ht="120" hidden="false" customHeight="true" outlineLevel="0" collapsed="false">
      <c r="B13" s="135" t="s">
        <v>889</v>
      </c>
      <c r="C13" s="136" t="s">
        <v>890</v>
      </c>
      <c r="D13" s="137" t="s">
        <v>891</v>
      </c>
      <c r="E13" s="138" t="s">
        <v>892</v>
      </c>
      <c r="F13" s="139" t="s">
        <v>893</v>
      </c>
      <c r="G13" s="140" t="s">
        <v>894</v>
      </c>
      <c r="H13" s="141" t="n">
        <v>0.88</v>
      </c>
      <c r="I13" s="142" t="s">
        <v>127</v>
      </c>
    </row>
    <row r="14" customFormat="false" ht="120" hidden="false" customHeight="true" outlineLevel="0" collapsed="false">
      <c r="B14" s="135" t="s">
        <v>895</v>
      </c>
      <c r="C14" s="136" t="s">
        <v>896</v>
      </c>
      <c r="D14" s="137" t="s">
        <v>897</v>
      </c>
      <c r="E14" s="138" t="s">
        <v>898</v>
      </c>
      <c r="F14" s="139" t="s">
        <v>899</v>
      </c>
      <c r="G14" s="140" t="s">
        <v>900</v>
      </c>
      <c r="H14" s="144" t="n">
        <v>0.72</v>
      </c>
      <c r="I14" s="74" t="s">
        <v>876</v>
      </c>
    </row>
    <row r="15" customFormat="false" ht="120" hidden="false" customHeight="true" outlineLevel="0" collapsed="false">
      <c r="B15" s="135" t="s">
        <v>901</v>
      </c>
      <c r="C15" s="136" t="s">
        <v>902</v>
      </c>
      <c r="D15" s="137" t="s">
        <v>903</v>
      </c>
      <c r="E15" s="138" t="s">
        <v>904</v>
      </c>
      <c r="F15" s="139" t="s">
        <v>905</v>
      </c>
      <c r="G15" s="140" t="s">
        <v>906</v>
      </c>
      <c r="H15" s="145" t="n">
        <v>0.7</v>
      </c>
      <c r="I15" s="142" t="s">
        <v>127</v>
      </c>
    </row>
    <row r="16" customFormat="false" ht="120" hidden="false" customHeight="true" outlineLevel="0" collapsed="false">
      <c r="B16" s="135" t="s">
        <v>907</v>
      </c>
      <c r="C16" s="136" t="s">
        <v>908</v>
      </c>
      <c r="D16" s="137" t="s">
        <v>909</v>
      </c>
      <c r="E16" s="138" t="s">
        <v>910</v>
      </c>
      <c r="F16" s="139" t="s">
        <v>911</v>
      </c>
      <c r="G16" s="140" t="s">
        <v>912</v>
      </c>
      <c r="H16" s="144" t="n">
        <v>0.8</v>
      </c>
      <c r="I16" s="74" t="s">
        <v>876</v>
      </c>
    </row>
    <row r="17" customFormat="false" ht="120" hidden="false" customHeight="true" outlineLevel="0" collapsed="false">
      <c r="B17" s="135" t="s">
        <v>913</v>
      </c>
      <c r="C17" s="136" t="s">
        <v>914</v>
      </c>
      <c r="D17" s="137" t="s">
        <v>915</v>
      </c>
      <c r="E17" s="138" t="s">
        <v>916</v>
      </c>
      <c r="F17" s="139" t="s">
        <v>917</v>
      </c>
      <c r="G17" s="140" t="s">
        <v>918</v>
      </c>
      <c r="H17" s="144" t="n">
        <v>0.78</v>
      </c>
      <c r="I17" s="142" t="s">
        <v>127</v>
      </c>
    </row>
    <row r="18" customFormat="false" ht="120" hidden="false" customHeight="true" outlineLevel="0" collapsed="false">
      <c r="B18" s="135" t="s">
        <v>919</v>
      </c>
      <c r="C18" s="136" t="s">
        <v>920</v>
      </c>
      <c r="D18" s="137" t="s">
        <v>921</v>
      </c>
      <c r="E18" s="138" t="s">
        <v>922</v>
      </c>
      <c r="F18" s="139" t="s">
        <v>923</v>
      </c>
      <c r="G18" s="140" t="s">
        <v>924</v>
      </c>
      <c r="H18" s="145" t="n">
        <v>0.65</v>
      </c>
      <c r="I18" s="143" t="s">
        <v>109</v>
      </c>
    </row>
    <row r="19" customFormat="false" ht="120" hidden="false" customHeight="true" outlineLevel="0" collapsed="false">
      <c r="B19" s="135" t="s">
        <v>925</v>
      </c>
      <c r="C19" s="136" t="s">
        <v>926</v>
      </c>
      <c r="D19" s="137" t="s">
        <v>927</v>
      </c>
      <c r="E19" s="138" t="s">
        <v>928</v>
      </c>
      <c r="F19" s="139" t="s">
        <v>929</v>
      </c>
      <c r="G19" s="140" t="s">
        <v>930</v>
      </c>
      <c r="H19" s="144" t="n">
        <v>0.75</v>
      </c>
      <c r="I19" s="74" t="s">
        <v>876</v>
      </c>
    </row>
    <row r="22" customFormat="false" ht="15" hidden="false" customHeight="true" outlineLevel="0" collapsed="false">
      <c r="B22" s="6" t="s">
        <v>931</v>
      </c>
      <c r="C22" s="6"/>
      <c r="D22" s="6"/>
      <c r="E22" s="6"/>
      <c r="F22" s="6"/>
      <c r="G22" s="6"/>
      <c r="H22" s="6"/>
      <c r="I22" s="6"/>
    </row>
    <row r="23" customFormat="false" ht="15" hidden="false" customHeight="true" outlineLevel="0" collapsed="false">
      <c r="B23" s="6" t="s">
        <v>932</v>
      </c>
      <c r="C23" s="6" t="s">
        <v>99</v>
      </c>
      <c r="D23" s="6" t="s">
        <v>807</v>
      </c>
      <c r="E23" s="6"/>
      <c r="F23" s="6"/>
      <c r="G23" s="6"/>
      <c r="H23" s="6"/>
      <c r="I23" s="6"/>
    </row>
    <row r="24" customFormat="false" ht="34.5" hidden="false" customHeight="true" outlineLevel="0" collapsed="false">
      <c r="B24" s="37" t="s">
        <v>933</v>
      </c>
      <c r="C24" s="49" t="n">
        <v>14</v>
      </c>
      <c r="D24" s="51" t="s">
        <v>934</v>
      </c>
      <c r="E24" s="51"/>
      <c r="F24" s="51"/>
      <c r="G24" s="51"/>
      <c r="H24" s="51"/>
      <c r="I24" s="51"/>
    </row>
    <row r="25" customFormat="false" ht="23.25" hidden="false" customHeight="true" outlineLevel="0" collapsed="false">
      <c r="B25" s="37" t="s">
        <v>935</v>
      </c>
      <c r="C25" s="49" t="n">
        <v>3</v>
      </c>
      <c r="D25" s="51" t="s">
        <v>936</v>
      </c>
      <c r="E25" s="51"/>
      <c r="F25" s="51"/>
      <c r="G25" s="51"/>
      <c r="H25" s="51"/>
      <c r="I25" s="51"/>
    </row>
    <row r="26" customFormat="false" ht="23.25" hidden="false" customHeight="true" outlineLevel="0" collapsed="false">
      <c r="B26" s="37" t="s">
        <v>937</v>
      </c>
      <c r="C26" s="49" t="n">
        <v>7</v>
      </c>
      <c r="D26" s="51" t="s">
        <v>938</v>
      </c>
      <c r="E26" s="51"/>
      <c r="F26" s="51"/>
      <c r="G26" s="51"/>
      <c r="H26" s="51"/>
      <c r="I26" s="51"/>
    </row>
    <row r="27" customFormat="false" ht="23.25" hidden="false" customHeight="true" outlineLevel="0" collapsed="false">
      <c r="B27" s="37" t="s">
        <v>939</v>
      </c>
      <c r="C27" s="49" t="n">
        <v>4</v>
      </c>
      <c r="D27" s="51" t="s">
        <v>940</v>
      </c>
      <c r="E27" s="51"/>
      <c r="F27" s="51"/>
      <c r="G27" s="51"/>
      <c r="H27" s="51"/>
      <c r="I27" s="51"/>
    </row>
    <row r="28" customFormat="false" ht="15" hidden="false" customHeight="true" outlineLevel="0" collapsed="false">
      <c r="B28" s="37" t="s">
        <v>941</v>
      </c>
      <c r="C28" s="49" t="n">
        <v>2</v>
      </c>
      <c r="D28" s="51" t="s">
        <v>942</v>
      </c>
      <c r="E28" s="51"/>
      <c r="F28" s="51"/>
      <c r="G28" s="51"/>
      <c r="H28" s="51"/>
      <c r="I28" s="51"/>
    </row>
    <row r="29" customFormat="false" ht="15" hidden="false" customHeight="true" outlineLevel="0" collapsed="false">
      <c r="B29" s="37" t="s">
        <v>943</v>
      </c>
      <c r="C29" s="49" t="n">
        <v>7</v>
      </c>
      <c r="D29" s="51" t="s">
        <v>944</v>
      </c>
      <c r="E29" s="51"/>
      <c r="F29" s="51"/>
      <c r="G29" s="51"/>
      <c r="H29" s="51"/>
      <c r="I29" s="51"/>
    </row>
    <row r="30" customFormat="false" ht="15" hidden="false" customHeight="true" outlineLevel="0" collapsed="false">
      <c r="B30" s="37" t="s">
        <v>945</v>
      </c>
      <c r="C30" s="49" t="n">
        <v>5</v>
      </c>
      <c r="D30" s="51" t="s">
        <v>946</v>
      </c>
      <c r="E30" s="51"/>
      <c r="F30" s="51"/>
      <c r="G30" s="51"/>
      <c r="H30" s="51"/>
      <c r="I30" s="51"/>
    </row>
    <row r="31" customFormat="false" ht="23.25" hidden="false" customHeight="true" outlineLevel="0" collapsed="false">
      <c r="B31" s="37" t="s">
        <v>947</v>
      </c>
      <c r="C31" s="57" t="n">
        <f aca="false">AVERAGE(H6:H19)</f>
        <v>0.79</v>
      </c>
      <c r="D31" s="51" t="s">
        <v>948</v>
      </c>
      <c r="E31" s="51"/>
      <c r="F31" s="51"/>
      <c r="G31" s="51"/>
      <c r="H31" s="51"/>
      <c r="I31" s="51"/>
    </row>
    <row r="32" customFormat="false" ht="34.5" hidden="false" customHeight="true" outlineLevel="0" collapsed="false">
      <c r="B32" s="37" t="s">
        <v>949</v>
      </c>
      <c r="C32" s="146" t="s">
        <v>950</v>
      </c>
      <c r="D32" s="51" t="s">
        <v>951</v>
      </c>
      <c r="E32" s="51"/>
      <c r="F32" s="51"/>
      <c r="G32" s="51"/>
      <c r="H32" s="51"/>
      <c r="I32" s="51"/>
    </row>
  </sheetData>
  <mergeCells count="12">
    <mergeCell ref="B2:H2"/>
    <mergeCell ref="B3:H3"/>
    <mergeCell ref="B22:I22"/>
    <mergeCell ref="D24:I24"/>
    <mergeCell ref="D25:I25"/>
    <mergeCell ref="D26:I26"/>
    <mergeCell ref="D27:I27"/>
    <mergeCell ref="D28:I28"/>
    <mergeCell ref="D29:I29"/>
    <mergeCell ref="D30:I30"/>
    <mergeCell ref="D31:I31"/>
    <mergeCell ref="D32:I3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J4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3"/>
    <col collapsed="false" customWidth="true" hidden="false" outlineLevel="0" max="2" min="2" style="1" width="23"/>
    <col collapsed="false" customWidth="true" hidden="false" outlineLevel="0" max="3" min="3" style="1" width="16"/>
    <col collapsed="false" customWidth="true" hidden="false" outlineLevel="0" max="4" min="4" style="1" width="28"/>
    <col collapsed="false" customWidth="true" hidden="false" outlineLevel="0" max="9" min="5" style="1" width="14"/>
    <col collapsed="false" customWidth="true" hidden="false" outlineLevel="0" max="10" min="10" style="1" width="36"/>
    <col collapsed="false" customWidth="true" hidden="false" outlineLevel="0" max="11" min="11" style="1" width="3"/>
  </cols>
  <sheetData>
    <row r="2" customFormat="false" ht="19.5" hidden="false" customHeight="true" outlineLevel="0" collapsed="false">
      <c r="B2" s="22" t="s">
        <v>952</v>
      </c>
      <c r="C2" s="22"/>
      <c r="D2" s="22"/>
      <c r="E2" s="22"/>
      <c r="F2" s="22"/>
      <c r="G2" s="22"/>
      <c r="H2" s="22"/>
      <c r="I2" s="22"/>
      <c r="J2" s="22"/>
    </row>
    <row r="3" customFormat="false" ht="15" hidden="false" customHeight="true" outlineLevel="0" collapsed="false">
      <c r="B3" s="23" t="s">
        <v>953</v>
      </c>
      <c r="C3" s="23"/>
      <c r="D3" s="23"/>
      <c r="E3" s="23"/>
      <c r="F3" s="23"/>
      <c r="G3" s="23"/>
      <c r="H3" s="23"/>
      <c r="I3" s="23"/>
      <c r="J3" s="23"/>
    </row>
    <row r="5" customFormat="false" ht="15" hidden="false" customHeight="true" outlineLevel="0" collapsed="false">
      <c r="B5" s="50" t="s">
        <v>954</v>
      </c>
      <c r="C5" s="50"/>
      <c r="D5" s="50"/>
      <c r="E5" s="50"/>
      <c r="F5" s="50"/>
      <c r="G5" s="50"/>
      <c r="H5" s="50"/>
      <c r="I5" s="50"/>
      <c r="J5" s="50"/>
    </row>
    <row r="6" customFormat="false" ht="15" hidden="false" customHeight="true" outlineLevel="0" collapsed="false">
      <c r="B6" s="107" t="s">
        <v>955</v>
      </c>
      <c r="C6" s="10" t="s">
        <v>956</v>
      </c>
      <c r="D6" s="10"/>
      <c r="E6" s="10"/>
      <c r="F6" s="10"/>
      <c r="G6" s="10"/>
      <c r="H6" s="10"/>
      <c r="I6" s="10"/>
      <c r="J6" s="10"/>
    </row>
    <row r="7" customFormat="false" ht="15" hidden="false" customHeight="true" outlineLevel="0" collapsed="false">
      <c r="B7" s="107" t="s">
        <v>957</v>
      </c>
      <c r="C7" s="10" t="s">
        <v>958</v>
      </c>
      <c r="D7" s="10"/>
      <c r="E7" s="10"/>
      <c r="F7" s="10"/>
      <c r="G7" s="10"/>
      <c r="H7" s="10"/>
      <c r="I7" s="10"/>
      <c r="J7" s="10"/>
    </row>
    <row r="8" customFormat="false" ht="15" hidden="false" customHeight="true" outlineLevel="0" collapsed="false">
      <c r="B8" s="107" t="s">
        <v>959</v>
      </c>
      <c r="C8" s="10" t="s">
        <v>960</v>
      </c>
      <c r="D8" s="10"/>
      <c r="E8" s="10"/>
      <c r="F8" s="10"/>
      <c r="G8" s="10"/>
      <c r="H8" s="10"/>
      <c r="I8" s="10"/>
      <c r="J8" s="10"/>
    </row>
    <row r="9" customFormat="false" ht="15" hidden="false" customHeight="true" outlineLevel="0" collapsed="false">
      <c r="B9" s="107" t="s">
        <v>961</v>
      </c>
      <c r="C9" s="10" t="s">
        <v>962</v>
      </c>
      <c r="D9" s="10"/>
      <c r="E9" s="10"/>
      <c r="F9" s="10"/>
      <c r="G9" s="10"/>
      <c r="H9" s="10"/>
      <c r="I9" s="10"/>
      <c r="J9" s="10"/>
    </row>
    <row r="10" customFormat="false" ht="15" hidden="false" customHeight="true" outlineLevel="0" collapsed="false">
      <c r="B10" s="107" t="s">
        <v>963</v>
      </c>
      <c r="C10" s="10" t="s">
        <v>964</v>
      </c>
      <c r="D10" s="10"/>
      <c r="E10" s="10"/>
      <c r="F10" s="10"/>
      <c r="G10" s="10"/>
      <c r="H10" s="10"/>
      <c r="I10" s="10"/>
      <c r="J10" s="10"/>
    </row>
    <row r="11" customFormat="false" ht="15" hidden="false" customHeight="true" outlineLevel="0" collapsed="false">
      <c r="B11" s="107" t="s">
        <v>965</v>
      </c>
      <c r="C11" s="10" t="s">
        <v>966</v>
      </c>
      <c r="D11" s="10"/>
      <c r="E11" s="10"/>
      <c r="F11" s="10"/>
      <c r="G11" s="10"/>
      <c r="H11" s="10"/>
      <c r="I11" s="10"/>
      <c r="J11" s="10"/>
    </row>
    <row r="12" customFormat="false" ht="15" hidden="false" customHeight="true" outlineLevel="0" collapsed="false">
      <c r="B12" s="107" t="s">
        <v>967</v>
      </c>
      <c r="C12" s="10" t="s">
        <v>968</v>
      </c>
      <c r="D12" s="10"/>
      <c r="E12" s="10"/>
      <c r="F12" s="10"/>
      <c r="G12" s="10"/>
      <c r="H12" s="10"/>
      <c r="I12" s="10"/>
      <c r="J12" s="10"/>
    </row>
    <row r="15" customFormat="false" ht="15" hidden="false" customHeight="true" outlineLevel="0" collapsed="false">
      <c r="B15" s="50" t="s">
        <v>969</v>
      </c>
      <c r="C15" s="50"/>
      <c r="D15" s="50"/>
      <c r="E15" s="50"/>
      <c r="F15" s="50"/>
      <c r="G15" s="50"/>
      <c r="H15" s="50"/>
      <c r="I15" s="50"/>
      <c r="J15" s="50"/>
    </row>
    <row r="16" customFormat="false" ht="26.25" hidden="false" customHeight="true" outlineLevel="0" collapsed="false">
      <c r="B16" s="6" t="s">
        <v>970</v>
      </c>
      <c r="C16" s="6" t="s">
        <v>971</v>
      </c>
      <c r="D16" s="6" t="s">
        <v>972</v>
      </c>
      <c r="E16" s="6" t="s">
        <v>973</v>
      </c>
      <c r="F16" s="6" t="s">
        <v>974</v>
      </c>
      <c r="G16" s="6" t="s">
        <v>975</v>
      </c>
      <c r="H16" s="6" t="s">
        <v>976</v>
      </c>
      <c r="I16" s="6" t="s">
        <v>977</v>
      </c>
      <c r="J16" s="6" t="s">
        <v>978</v>
      </c>
    </row>
    <row r="17" customFormat="false" ht="15" hidden="false" customHeight="true" outlineLevel="0" collapsed="false">
      <c r="B17" s="147" t="s">
        <v>979</v>
      </c>
      <c r="C17" s="147"/>
      <c r="D17" s="147"/>
      <c r="E17" s="147"/>
      <c r="F17" s="147"/>
      <c r="G17" s="147"/>
      <c r="H17" s="147"/>
      <c r="I17" s="147"/>
      <c r="J17" s="147"/>
    </row>
    <row r="18" customFormat="false" ht="23.25" hidden="false" customHeight="true" outlineLevel="0" collapsed="false">
      <c r="B18" s="100" t="s">
        <v>980</v>
      </c>
      <c r="C18" s="10" t="s">
        <v>981</v>
      </c>
      <c r="D18" s="148" t="s">
        <v>982</v>
      </c>
      <c r="E18" s="25" t="n">
        <v>800</v>
      </c>
      <c r="F18" s="33" t="n">
        <v>12000</v>
      </c>
      <c r="G18" s="31" t="n">
        <f aca="false">E18*F18</f>
        <v>9600000</v>
      </c>
      <c r="H18" s="61" t="n">
        <f aca="false">G18*0.3</f>
        <v>2880000</v>
      </c>
      <c r="I18" s="114" t="s">
        <v>983</v>
      </c>
      <c r="J18" s="51" t="s">
        <v>984</v>
      </c>
    </row>
    <row r="19" customFormat="false" ht="23.25" hidden="false" customHeight="true" outlineLevel="0" collapsed="false">
      <c r="B19" s="100" t="s">
        <v>985</v>
      </c>
      <c r="C19" s="10" t="s">
        <v>986</v>
      </c>
      <c r="D19" s="148" t="s">
        <v>987</v>
      </c>
      <c r="E19" s="25" t="n">
        <v>700</v>
      </c>
      <c r="F19" s="33" t="n">
        <v>8000</v>
      </c>
      <c r="G19" s="31" t="n">
        <f aca="false">E19*F19</f>
        <v>5600000</v>
      </c>
      <c r="H19" s="61" t="n">
        <f aca="false">G19*0.3</f>
        <v>1680000</v>
      </c>
      <c r="I19" s="114" t="s">
        <v>983</v>
      </c>
      <c r="J19" s="51" t="s">
        <v>988</v>
      </c>
    </row>
    <row r="20" customFormat="false" ht="15" hidden="false" customHeight="true" outlineLevel="0" collapsed="false">
      <c r="B20" s="147" t="s">
        <v>989</v>
      </c>
      <c r="C20" s="147"/>
      <c r="D20" s="147"/>
      <c r="E20" s="147"/>
      <c r="F20" s="147"/>
      <c r="G20" s="147"/>
      <c r="H20" s="147"/>
      <c r="I20" s="147"/>
      <c r="J20" s="147"/>
    </row>
    <row r="21" customFormat="false" ht="34.5" hidden="false" customHeight="true" outlineLevel="0" collapsed="false">
      <c r="B21" s="149" t="s">
        <v>990</v>
      </c>
      <c r="C21" s="10" t="s">
        <v>991</v>
      </c>
      <c r="D21" s="148" t="s">
        <v>992</v>
      </c>
      <c r="E21" s="25" t="n">
        <v>350</v>
      </c>
      <c r="F21" s="33" t="n">
        <v>45000</v>
      </c>
      <c r="G21" s="31" t="n">
        <f aca="false">E21*F21</f>
        <v>15750000</v>
      </c>
      <c r="H21" s="61" t="n">
        <f aca="false">G21*0.3</f>
        <v>4725000</v>
      </c>
      <c r="I21" s="74" t="s">
        <v>993</v>
      </c>
      <c r="J21" s="51" t="s">
        <v>994</v>
      </c>
    </row>
    <row r="22" customFormat="false" ht="23.25" hidden="false" customHeight="true" outlineLevel="0" collapsed="false">
      <c r="B22" s="149" t="s">
        <v>995</v>
      </c>
      <c r="C22" s="10" t="s">
        <v>996</v>
      </c>
      <c r="D22" s="148" t="s">
        <v>997</v>
      </c>
      <c r="E22" s="25" t="n">
        <v>420</v>
      </c>
      <c r="F22" s="33" t="n">
        <v>18000</v>
      </c>
      <c r="G22" s="31" t="n">
        <f aca="false">E22*F22</f>
        <v>7560000</v>
      </c>
      <c r="H22" s="61" t="n">
        <f aca="false">G22*0.3</f>
        <v>2268000</v>
      </c>
      <c r="I22" s="74" t="s">
        <v>993</v>
      </c>
      <c r="J22" s="51" t="s">
        <v>998</v>
      </c>
    </row>
    <row r="23" customFormat="false" ht="15" hidden="false" customHeight="true" outlineLevel="0" collapsed="false">
      <c r="B23" s="147" t="s">
        <v>999</v>
      </c>
      <c r="C23" s="147"/>
      <c r="D23" s="147"/>
      <c r="E23" s="147"/>
      <c r="F23" s="147"/>
      <c r="G23" s="147"/>
      <c r="H23" s="147"/>
      <c r="I23" s="147"/>
      <c r="J23" s="147"/>
    </row>
    <row r="24" customFormat="false" ht="34.5" hidden="false" customHeight="true" outlineLevel="0" collapsed="false">
      <c r="B24" s="149" t="s">
        <v>1000</v>
      </c>
      <c r="C24" s="10" t="s">
        <v>1001</v>
      </c>
      <c r="D24" s="148" t="s">
        <v>1002</v>
      </c>
      <c r="E24" s="25" t="n">
        <v>1800</v>
      </c>
      <c r="F24" s="33" t="n">
        <v>25000</v>
      </c>
      <c r="G24" s="31" t="n">
        <f aca="false">E24*F24</f>
        <v>45000000</v>
      </c>
      <c r="H24" s="61" t="n">
        <f aca="false">G24*0.3</f>
        <v>13500000</v>
      </c>
      <c r="I24" s="74" t="s">
        <v>1003</v>
      </c>
      <c r="J24" s="51" t="s">
        <v>1004</v>
      </c>
    </row>
    <row r="25" customFormat="false" ht="23.25" hidden="false" customHeight="true" outlineLevel="0" collapsed="false">
      <c r="B25" s="149" t="s">
        <v>1005</v>
      </c>
      <c r="C25" s="10" t="s">
        <v>1006</v>
      </c>
      <c r="D25" s="148" t="s">
        <v>1007</v>
      </c>
      <c r="E25" s="25" t="n">
        <v>2200</v>
      </c>
      <c r="F25" s="33" t="n">
        <v>5000</v>
      </c>
      <c r="G25" s="31" t="n">
        <f aca="false">E25*F25</f>
        <v>11000000</v>
      </c>
      <c r="H25" s="61" t="n">
        <f aca="false">G25*0.3</f>
        <v>3300000</v>
      </c>
      <c r="I25" s="114" t="s">
        <v>983</v>
      </c>
      <c r="J25" s="51" t="s">
        <v>1008</v>
      </c>
    </row>
    <row r="27" customFormat="false" ht="26.25" hidden="false" customHeight="true" outlineLevel="0" collapsed="false">
      <c r="B27" s="150" t="s">
        <v>1009</v>
      </c>
      <c r="C27" s="41"/>
      <c r="D27" s="41"/>
      <c r="E27" s="41"/>
      <c r="F27" s="151" t="n">
        <f aca="false">SUM(F18:F26)</f>
        <v>113000</v>
      </c>
      <c r="G27" s="42" t="n">
        <f aca="false">SUM(G18:G26)</f>
        <v>94510000</v>
      </c>
      <c r="H27" s="42" t="n">
        <f aca="false">SUM(H18:H26)</f>
        <v>28353000</v>
      </c>
      <c r="I27" s="41"/>
      <c r="J27" s="41"/>
    </row>
    <row r="29" customFormat="false" ht="15" hidden="false" customHeight="true" outlineLevel="0" collapsed="false">
      <c r="B29" s="50" t="s">
        <v>1010</v>
      </c>
      <c r="C29" s="50"/>
      <c r="D29" s="50"/>
      <c r="E29" s="50"/>
      <c r="F29" s="50"/>
      <c r="G29" s="50"/>
      <c r="H29" s="50"/>
      <c r="I29" s="50"/>
      <c r="J29" s="50"/>
    </row>
    <row r="30" customFormat="false" ht="26.25" hidden="false" customHeight="true" outlineLevel="0" collapsed="false">
      <c r="B30" s="6" t="s">
        <v>585</v>
      </c>
      <c r="C30" s="6" t="s">
        <v>1011</v>
      </c>
      <c r="D30" s="6" t="s">
        <v>1012</v>
      </c>
      <c r="E30" s="6" t="s">
        <v>1013</v>
      </c>
      <c r="F30" s="6"/>
      <c r="G30" s="6"/>
      <c r="H30" s="6"/>
      <c r="I30" s="6"/>
      <c r="J30" s="6" t="s">
        <v>261</v>
      </c>
    </row>
    <row r="31" customFormat="false" ht="15" hidden="false" customHeight="true" outlineLevel="0" collapsed="false">
      <c r="B31" s="10" t="s">
        <v>1014</v>
      </c>
      <c r="C31" s="25" t="n">
        <v>150000</v>
      </c>
      <c r="D31" s="25" t="n">
        <v>250000</v>
      </c>
      <c r="E31" s="25" t="n">
        <v>600000</v>
      </c>
      <c r="J31" s="51" t="s">
        <v>1015</v>
      </c>
    </row>
    <row r="32" customFormat="false" ht="23.25" hidden="false" customHeight="true" outlineLevel="0" collapsed="false">
      <c r="B32" s="10" t="s">
        <v>1016</v>
      </c>
      <c r="C32" s="25" t="n">
        <v>80000</v>
      </c>
      <c r="D32" s="25" t="n">
        <v>200000</v>
      </c>
      <c r="E32" s="25" t="n">
        <v>180000</v>
      </c>
      <c r="J32" s="51" t="s">
        <v>1017</v>
      </c>
    </row>
    <row r="33" customFormat="false" ht="23.25" hidden="false" customHeight="true" outlineLevel="0" collapsed="false">
      <c r="B33" s="10" t="s">
        <v>1018</v>
      </c>
      <c r="C33" s="25" t="n">
        <v>200000</v>
      </c>
      <c r="D33" s="25" t="n">
        <v>400000</v>
      </c>
      <c r="E33" s="25" t="n">
        <v>350000</v>
      </c>
      <c r="J33" s="51" t="s">
        <v>1019</v>
      </c>
    </row>
    <row r="34" customFormat="false" ht="23.25" hidden="false" customHeight="true" outlineLevel="0" collapsed="false">
      <c r="B34" s="10" t="s">
        <v>1020</v>
      </c>
      <c r="C34" s="25" t="n">
        <v>100000</v>
      </c>
      <c r="D34" s="25" t="n">
        <v>120000</v>
      </c>
      <c r="E34" s="25" t="n">
        <v>250000</v>
      </c>
      <c r="J34" s="51" t="s">
        <v>1021</v>
      </c>
    </row>
    <row r="35" customFormat="false" ht="23.25" hidden="false" customHeight="true" outlineLevel="0" collapsed="false">
      <c r="B35" s="10" t="s">
        <v>1022</v>
      </c>
      <c r="C35" s="25" t="n">
        <v>120000</v>
      </c>
      <c r="D35" s="25" t="n">
        <v>180000</v>
      </c>
      <c r="E35" s="25" t="n">
        <v>400000</v>
      </c>
      <c r="J35" s="51" t="s">
        <v>1023</v>
      </c>
    </row>
    <row r="36" customFormat="false" ht="15" hidden="false" customHeight="true" outlineLevel="0" collapsed="false">
      <c r="B36" s="10" t="s">
        <v>1024</v>
      </c>
      <c r="C36" s="31" t="n">
        <f aca="false">SUM(C31:C35)*0.2</f>
        <v>130000</v>
      </c>
      <c r="D36" s="31" t="n">
        <f aca="false">SUM(D31:D35)*0.2</f>
        <v>230000</v>
      </c>
      <c r="E36" s="31" t="n">
        <f aca="false">SUM(E31:E35)*0.2</f>
        <v>356000</v>
      </c>
      <c r="J36" s="51" t="s">
        <v>1025</v>
      </c>
    </row>
    <row r="37" customFormat="false" ht="15" hidden="false" customHeight="true" outlineLevel="0" collapsed="false">
      <c r="B37" s="44" t="s">
        <v>1026</v>
      </c>
      <c r="C37" s="42" t="n">
        <f aca="false">SUM(C31:C36)</f>
        <v>780000</v>
      </c>
      <c r="D37" s="42" t="n">
        <f aca="false">SUM(D31:D36)</f>
        <v>1380000</v>
      </c>
      <c r="E37" s="42" t="n">
        <f aca="false">SUM(E31:E36)</f>
        <v>2136000</v>
      </c>
      <c r="F37" s="41"/>
      <c r="G37" s="41"/>
      <c r="H37" s="41"/>
      <c r="I37" s="41"/>
      <c r="J37" s="41"/>
    </row>
    <row r="39" customFormat="false" ht="15" hidden="false" customHeight="true" outlineLevel="0" collapsed="false">
      <c r="B39" s="134" t="s">
        <v>1027</v>
      </c>
      <c r="C39" s="134"/>
      <c r="D39" s="134"/>
      <c r="E39" s="134"/>
      <c r="F39" s="134"/>
      <c r="G39" s="134"/>
      <c r="H39" s="134"/>
      <c r="I39" s="134"/>
      <c r="J39" s="134"/>
    </row>
    <row r="40" customFormat="false" ht="15" hidden="false" customHeight="true" outlineLevel="0" collapsed="false">
      <c r="B40" s="20" t="s">
        <v>1028</v>
      </c>
      <c r="C40" s="10" t="s">
        <v>1029</v>
      </c>
      <c r="D40" s="10"/>
      <c r="E40" s="10"/>
      <c r="F40" s="10"/>
      <c r="G40" s="10"/>
      <c r="H40" s="10"/>
      <c r="I40" s="10"/>
      <c r="J40" s="10"/>
    </row>
    <row r="41" customFormat="false" ht="15" hidden="false" customHeight="true" outlineLevel="0" collapsed="false">
      <c r="B41" s="20" t="s">
        <v>1028</v>
      </c>
      <c r="C41" s="10" t="s">
        <v>1030</v>
      </c>
      <c r="D41" s="10"/>
      <c r="E41" s="10"/>
      <c r="F41" s="10"/>
      <c r="G41" s="10"/>
      <c r="H41" s="10"/>
      <c r="I41" s="10"/>
      <c r="J41" s="10"/>
    </row>
    <row r="42" customFormat="false" ht="15" hidden="false" customHeight="true" outlineLevel="0" collapsed="false">
      <c r="B42" s="20" t="s">
        <v>1028</v>
      </c>
      <c r="C42" s="10" t="s">
        <v>1031</v>
      </c>
      <c r="D42" s="10"/>
      <c r="E42" s="10"/>
      <c r="F42" s="10"/>
      <c r="G42" s="10"/>
      <c r="H42" s="10"/>
      <c r="I42" s="10"/>
      <c r="J42" s="10"/>
    </row>
    <row r="43" customFormat="false" ht="15" hidden="false" customHeight="true" outlineLevel="0" collapsed="false">
      <c r="B43" s="20" t="s">
        <v>1028</v>
      </c>
      <c r="C43" s="10" t="s">
        <v>1032</v>
      </c>
      <c r="D43" s="10"/>
      <c r="E43" s="10"/>
      <c r="F43" s="10"/>
      <c r="G43" s="10"/>
      <c r="H43" s="10"/>
      <c r="I43" s="10"/>
      <c r="J43" s="10"/>
    </row>
    <row r="44" customFormat="false" ht="15" hidden="false" customHeight="true" outlineLevel="0" collapsed="false">
      <c r="B44" s="20" t="s">
        <v>1028</v>
      </c>
      <c r="C44" s="10" t="s">
        <v>1033</v>
      </c>
      <c r="D44" s="10"/>
      <c r="E44" s="10"/>
      <c r="F44" s="10"/>
      <c r="G44" s="10"/>
      <c r="H44" s="10"/>
      <c r="I44" s="10"/>
      <c r="J44" s="10"/>
    </row>
    <row r="45" customFormat="false" ht="15" hidden="false" customHeight="true" outlineLevel="0" collapsed="false">
      <c r="B45" s="20" t="s">
        <v>1028</v>
      </c>
      <c r="C45" s="10" t="s">
        <v>1034</v>
      </c>
      <c r="D45" s="10"/>
      <c r="E45" s="10"/>
      <c r="F45" s="10"/>
      <c r="G45" s="10"/>
      <c r="H45" s="10"/>
      <c r="I45" s="10"/>
      <c r="J45" s="10"/>
    </row>
    <row r="46" customFormat="false" ht="15" hidden="false" customHeight="true" outlineLevel="0" collapsed="false">
      <c r="B46" s="20" t="s">
        <v>1028</v>
      </c>
      <c r="C46" s="10" t="s">
        <v>1035</v>
      </c>
      <c r="D46" s="10"/>
      <c r="E46" s="10"/>
      <c r="F46" s="10"/>
      <c r="G46" s="10"/>
      <c r="H46" s="10"/>
      <c r="I46" s="10"/>
      <c r="J46" s="10"/>
    </row>
    <row r="47" customFormat="false" ht="15" hidden="false" customHeight="true" outlineLevel="0" collapsed="false">
      <c r="B47" s="20" t="s">
        <v>1028</v>
      </c>
      <c r="C47" s="10" t="s">
        <v>1036</v>
      </c>
      <c r="D47" s="10"/>
      <c r="E47" s="10"/>
      <c r="F47" s="10"/>
      <c r="G47" s="10"/>
      <c r="H47" s="10"/>
      <c r="I47" s="10"/>
      <c r="J47" s="10"/>
    </row>
    <row r="48" customFormat="false" ht="15" hidden="false" customHeight="true" outlineLevel="0" collapsed="false">
      <c r="B48" s="20" t="s">
        <v>1028</v>
      </c>
      <c r="C48" s="10" t="s">
        <v>1037</v>
      </c>
      <c r="D48" s="10"/>
      <c r="E48" s="10"/>
      <c r="F48" s="10"/>
      <c r="G48" s="10"/>
      <c r="H48" s="10"/>
      <c r="I48" s="10"/>
      <c r="J48" s="10"/>
    </row>
    <row r="49" customFormat="false" ht="15" hidden="false" customHeight="true" outlineLevel="0" collapsed="false">
      <c r="B49" s="20" t="s">
        <v>1028</v>
      </c>
      <c r="C49" s="10" t="s">
        <v>1038</v>
      </c>
      <c r="D49" s="10"/>
      <c r="E49" s="10"/>
      <c r="F49" s="10"/>
      <c r="G49" s="10"/>
      <c r="H49" s="10"/>
      <c r="I49" s="10"/>
      <c r="J49" s="10"/>
    </row>
  </sheetData>
  <mergeCells count="26">
    <mergeCell ref="B2:J2"/>
    <mergeCell ref="B3:J3"/>
    <mergeCell ref="B5:J5"/>
    <mergeCell ref="C6:J6"/>
    <mergeCell ref="C7:J7"/>
    <mergeCell ref="C8:J8"/>
    <mergeCell ref="C9:J9"/>
    <mergeCell ref="C10:J10"/>
    <mergeCell ref="C11:J11"/>
    <mergeCell ref="C12:J12"/>
    <mergeCell ref="B15:J15"/>
    <mergeCell ref="B17:J17"/>
    <mergeCell ref="B20:J20"/>
    <mergeCell ref="B23:J23"/>
    <mergeCell ref="B29:J29"/>
    <mergeCell ref="B39:J39"/>
    <mergeCell ref="C40:J40"/>
    <mergeCell ref="C41:J41"/>
    <mergeCell ref="C42:J42"/>
    <mergeCell ref="C43:J43"/>
    <mergeCell ref="C44:J44"/>
    <mergeCell ref="C45:J45"/>
    <mergeCell ref="C46:J46"/>
    <mergeCell ref="C47:J47"/>
    <mergeCell ref="C48:J48"/>
    <mergeCell ref="C49:J4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F8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3"/>
    <col collapsed="false" customWidth="true" hidden="false" outlineLevel="0" max="2" min="2" style="1" width="22"/>
    <col collapsed="false" customWidth="true" hidden="false" outlineLevel="0" max="3" min="3" style="1" width="38"/>
    <col collapsed="false" customWidth="true" hidden="false" outlineLevel="0" max="4" min="4" style="1" width="40"/>
    <col collapsed="false" customWidth="true" hidden="false" outlineLevel="0" max="5" min="5" style="1" width="24"/>
    <col collapsed="false" customWidth="true" hidden="false" outlineLevel="0" max="6" min="6" style="1" width="30"/>
    <col collapsed="false" customWidth="true" hidden="false" outlineLevel="0" max="7" min="7" style="1" width="3"/>
  </cols>
  <sheetData>
    <row r="2" customFormat="false" ht="19.5" hidden="false" customHeight="true" outlineLevel="0" collapsed="false">
      <c r="B2" s="22" t="s">
        <v>1039</v>
      </c>
      <c r="C2" s="22"/>
      <c r="D2" s="22"/>
      <c r="E2" s="22"/>
      <c r="F2" s="22"/>
    </row>
    <row r="3" customFormat="false" ht="15" hidden="false" customHeight="true" outlineLevel="0" collapsed="false">
      <c r="B3" s="23" t="s">
        <v>1040</v>
      </c>
      <c r="C3" s="23"/>
      <c r="D3" s="23"/>
      <c r="E3" s="23"/>
      <c r="F3" s="23"/>
    </row>
    <row r="5" customFormat="false" ht="15" hidden="false" customHeight="true" outlineLevel="0" collapsed="false">
      <c r="B5" s="50" t="s">
        <v>1041</v>
      </c>
      <c r="C5" s="50"/>
      <c r="D5" s="50"/>
      <c r="E5" s="50"/>
      <c r="F5" s="50"/>
    </row>
    <row r="6" customFormat="false" ht="15" hidden="false" customHeight="true" outlineLevel="0" collapsed="false">
      <c r="B6" s="6" t="s">
        <v>1042</v>
      </c>
      <c r="C6" s="6" t="s">
        <v>1043</v>
      </c>
      <c r="D6" s="6" t="s">
        <v>1044</v>
      </c>
      <c r="E6" s="6" t="s">
        <v>1045</v>
      </c>
      <c r="F6" s="6" t="s">
        <v>1046</v>
      </c>
    </row>
    <row r="7" customFormat="false" ht="23.25" hidden="false" customHeight="true" outlineLevel="0" collapsed="false">
      <c r="B7" s="152" t="s">
        <v>1047</v>
      </c>
      <c r="C7" s="10" t="s">
        <v>1048</v>
      </c>
      <c r="D7" s="10" t="s">
        <v>1049</v>
      </c>
      <c r="E7" s="124" t="s">
        <v>7</v>
      </c>
      <c r="F7" s="51" t="s">
        <v>1050</v>
      </c>
    </row>
    <row r="8" customFormat="false" ht="23.25" hidden="false" customHeight="true" outlineLevel="0" collapsed="false">
      <c r="B8" s="10" t="s">
        <v>1051</v>
      </c>
      <c r="C8" s="10" t="s">
        <v>1052</v>
      </c>
      <c r="D8" s="10" t="s">
        <v>1053</v>
      </c>
      <c r="E8" s="124" t="s">
        <v>7</v>
      </c>
      <c r="F8" s="51" t="s">
        <v>1050</v>
      </c>
    </row>
    <row r="9" customFormat="false" ht="23.25" hidden="false" customHeight="true" outlineLevel="0" collapsed="false">
      <c r="B9" s="10" t="s">
        <v>1054</v>
      </c>
      <c r="C9" s="10" t="s">
        <v>1055</v>
      </c>
      <c r="D9" s="10" t="s">
        <v>1056</v>
      </c>
      <c r="E9" s="124" t="s">
        <v>1057</v>
      </c>
      <c r="F9" s="51" t="s">
        <v>1050</v>
      </c>
    </row>
    <row r="10" customFormat="false" ht="23.25" hidden="false" customHeight="true" outlineLevel="0" collapsed="false">
      <c r="B10" s="10" t="s">
        <v>1058</v>
      </c>
      <c r="C10" s="10" t="s">
        <v>1059</v>
      </c>
      <c r="D10" s="10" t="s">
        <v>1060</v>
      </c>
      <c r="E10" s="124" t="s">
        <v>1057</v>
      </c>
      <c r="F10" s="51" t="s">
        <v>1061</v>
      </c>
    </row>
    <row r="11" customFormat="false" ht="23.25" hidden="false" customHeight="true" outlineLevel="0" collapsed="false">
      <c r="B11" s="10" t="s">
        <v>1062</v>
      </c>
      <c r="C11" s="10" t="s">
        <v>1063</v>
      </c>
      <c r="D11" s="10" t="s">
        <v>1064</v>
      </c>
      <c r="E11" s="124" t="s">
        <v>1057</v>
      </c>
      <c r="F11" s="51" t="s">
        <v>1050</v>
      </c>
    </row>
    <row r="12" customFormat="false" ht="23.25" hidden="false" customHeight="true" outlineLevel="0" collapsed="false">
      <c r="B12" s="10" t="s">
        <v>1065</v>
      </c>
      <c r="C12" s="10" t="s">
        <v>1066</v>
      </c>
      <c r="D12" s="10" t="s">
        <v>1067</v>
      </c>
      <c r="E12" s="124" t="s">
        <v>1068</v>
      </c>
      <c r="F12" s="51" t="s">
        <v>1061</v>
      </c>
    </row>
    <row r="13" customFormat="false" ht="23.25" hidden="false" customHeight="true" outlineLevel="0" collapsed="false">
      <c r="B13" s="10" t="s">
        <v>1069</v>
      </c>
      <c r="C13" s="10" t="s">
        <v>1070</v>
      </c>
      <c r="D13" s="10" t="s">
        <v>1071</v>
      </c>
      <c r="E13" s="124" t="s">
        <v>7</v>
      </c>
      <c r="F13" s="51" t="s">
        <v>1072</v>
      </c>
    </row>
    <row r="14" customFormat="false" ht="23.25" hidden="false" customHeight="true" outlineLevel="0" collapsed="false">
      <c r="B14" s="10" t="s">
        <v>1073</v>
      </c>
      <c r="C14" s="10" t="s">
        <v>1074</v>
      </c>
      <c r="D14" s="10" t="s">
        <v>1075</v>
      </c>
      <c r="E14" s="124" t="s">
        <v>1076</v>
      </c>
      <c r="F14" s="51" t="s">
        <v>1077</v>
      </c>
    </row>
    <row r="15" customFormat="false" ht="23.25" hidden="false" customHeight="true" outlineLevel="0" collapsed="false">
      <c r="B15" s="10" t="s">
        <v>1078</v>
      </c>
      <c r="C15" s="10" t="s">
        <v>1079</v>
      </c>
      <c r="D15" s="10" t="s">
        <v>1080</v>
      </c>
      <c r="E15" s="124" t="s">
        <v>1076</v>
      </c>
      <c r="F15" s="51" t="s">
        <v>1077</v>
      </c>
    </row>
    <row r="16" customFormat="false" ht="23.25" hidden="false" customHeight="true" outlineLevel="0" collapsed="false">
      <c r="B16" s="10" t="s">
        <v>1081</v>
      </c>
      <c r="C16" s="10" t="s">
        <v>1082</v>
      </c>
      <c r="D16" s="10" t="s">
        <v>1083</v>
      </c>
      <c r="E16" s="124" t="s">
        <v>1084</v>
      </c>
      <c r="F16" s="51" t="s">
        <v>1061</v>
      </c>
    </row>
    <row r="17" customFormat="false" ht="23.25" hidden="false" customHeight="true" outlineLevel="0" collapsed="false">
      <c r="B17" s="10" t="s">
        <v>1085</v>
      </c>
      <c r="C17" s="10" t="s">
        <v>1086</v>
      </c>
      <c r="D17" s="10" t="s">
        <v>1087</v>
      </c>
      <c r="E17" s="124" t="s">
        <v>1088</v>
      </c>
      <c r="F17" s="51" t="s">
        <v>1061</v>
      </c>
    </row>
    <row r="18" customFormat="false" ht="23.25" hidden="false" customHeight="true" outlineLevel="0" collapsed="false">
      <c r="B18" s="153" t="s">
        <v>1089</v>
      </c>
      <c r="C18" s="154" t="s">
        <v>1090</v>
      </c>
      <c r="D18" s="154" t="s">
        <v>1091</v>
      </c>
      <c r="E18" s="124" t="s">
        <v>1092</v>
      </c>
      <c r="F18" s="51" t="s">
        <v>1093</v>
      </c>
    </row>
    <row r="19" customFormat="false" ht="23.25" hidden="false" customHeight="true" outlineLevel="0" collapsed="false">
      <c r="B19" s="153" t="s">
        <v>1094</v>
      </c>
      <c r="C19" s="154" t="s">
        <v>1095</v>
      </c>
      <c r="D19" s="154" t="s">
        <v>1096</v>
      </c>
      <c r="E19" s="124" t="s">
        <v>1092</v>
      </c>
      <c r="F19" s="51" t="s">
        <v>1093</v>
      </c>
    </row>
    <row r="20" customFormat="false" ht="34.5" hidden="false" customHeight="true" outlineLevel="0" collapsed="false">
      <c r="B20" s="10" t="s">
        <v>1097</v>
      </c>
      <c r="C20" s="10" t="s">
        <v>1098</v>
      </c>
      <c r="D20" s="10" t="s">
        <v>1099</v>
      </c>
      <c r="E20" s="124" t="s">
        <v>1076</v>
      </c>
      <c r="F20" s="51" t="s">
        <v>1050</v>
      </c>
    </row>
    <row r="21" customFormat="false" ht="15" hidden="false" customHeight="true" outlineLevel="0" collapsed="false">
      <c r="B21" s="10" t="s">
        <v>1100</v>
      </c>
      <c r="C21" s="10" t="s">
        <v>1101</v>
      </c>
      <c r="D21" s="10" t="s">
        <v>1102</v>
      </c>
      <c r="E21" s="124" t="s">
        <v>1103</v>
      </c>
      <c r="F21" s="51" t="s">
        <v>1104</v>
      </c>
    </row>
    <row r="22" customFormat="false" ht="23.25" hidden="false" customHeight="true" outlineLevel="0" collapsed="false">
      <c r="B22" s="10" t="s">
        <v>1105</v>
      </c>
      <c r="C22" s="10" t="s">
        <v>1106</v>
      </c>
      <c r="D22" s="10" t="s">
        <v>1107</v>
      </c>
      <c r="E22" s="124" t="s">
        <v>7</v>
      </c>
      <c r="F22" s="51" t="s">
        <v>1108</v>
      </c>
    </row>
    <row r="25" customFormat="false" ht="15" hidden="false" customHeight="true" outlineLevel="0" collapsed="false">
      <c r="B25" s="50" t="s">
        <v>1109</v>
      </c>
      <c r="C25" s="50"/>
      <c r="D25" s="50"/>
      <c r="E25" s="50"/>
      <c r="F25" s="50"/>
    </row>
    <row r="26" customFormat="false" ht="15" hidden="false" customHeight="true" outlineLevel="0" collapsed="false">
      <c r="B26" s="6" t="s">
        <v>1110</v>
      </c>
      <c r="C26" s="6" t="s">
        <v>99</v>
      </c>
      <c r="D26" s="6" t="s">
        <v>1111</v>
      </c>
      <c r="E26" s="6" t="s">
        <v>1112</v>
      </c>
      <c r="F26" s="6" t="s">
        <v>103</v>
      </c>
    </row>
    <row r="27" customFormat="false" ht="23.25" hidden="false" customHeight="true" outlineLevel="0" collapsed="false">
      <c r="B27" s="37" t="s">
        <v>1113</v>
      </c>
      <c r="C27" s="155" t="s">
        <v>1114</v>
      </c>
      <c r="D27" s="148" t="s">
        <v>1115</v>
      </c>
      <c r="E27" s="156" t="s">
        <v>1116</v>
      </c>
      <c r="F27" s="143" t="s">
        <v>1117</v>
      </c>
    </row>
    <row r="28" customFormat="false" ht="15" hidden="false" customHeight="true" outlineLevel="0" collapsed="false">
      <c r="B28" s="37" t="s">
        <v>1118</v>
      </c>
      <c r="C28" s="155" t="s">
        <v>1119</v>
      </c>
      <c r="D28" s="148" t="s">
        <v>1120</v>
      </c>
      <c r="E28" s="156" t="s">
        <v>1116</v>
      </c>
      <c r="F28" s="143" t="s">
        <v>1117</v>
      </c>
    </row>
    <row r="29" customFormat="false" ht="15" hidden="false" customHeight="true" outlineLevel="0" collapsed="false">
      <c r="B29" s="37" t="s">
        <v>1121</v>
      </c>
      <c r="C29" s="155" t="s">
        <v>1122</v>
      </c>
      <c r="D29" s="148" t="s">
        <v>1123</v>
      </c>
      <c r="E29" s="156" t="s">
        <v>1124</v>
      </c>
      <c r="F29" s="143" t="s">
        <v>1117</v>
      </c>
    </row>
    <row r="30" customFormat="false" ht="15" hidden="false" customHeight="true" outlineLevel="0" collapsed="false">
      <c r="B30" s="37" t="s">
        <v>1125</v>
      </c>
      <c r="C30" s="155" t="s">
        <v>1126</v>
      </c>
      <c r="D30" s="148" t="s">
        <v>1127</v>
      </c>
      <c r="E30" s="156" t="s">
        <v>1124</v>
      </c>
      <c r="F30" s="143" t="s">
        <v>1117</v>
      </c>
    </row>
    <row r="31" customFormat="false" ht="15" hidden="false" customHeight="true" outlineLevel="0" collapsed="false">
      <c r="B31" s="37" t="s">
        <v>1128</v>
      </c>
      <c r="C31" s="155" t="s">
        <v>1129</v>
      </c>
      <c r="D31" s="148" t="s">
        <v>1130</v>
      </c>
      <c r="E31" s="156" t="s">
        <v>1131</v>
      </c>
      <c r="F31" s="143" t="s">
        <v>1117</v>
      </c>
    </row>
    <row r="32" customFormat="false" ht="15" hidden="false" customHeight="true" outlineLevel="0" collapsed="false">
      <c r="B32" s="37" t="s">
        <v>1132</v>
      </c>
      <c r="C32" s="155" t="s">
        <v>1133</v>
      </c>
      <c r="D32" s="148" t="s">
        <v>1134</v>
      </c>
      <c r="E32" s="156" t="s">
        <v>1135</v>
      </c>
      <c r="F32" s="143" t="s">
        <v>1117</v>
      </c>
    </row>
    <row r="33" customFormat="false" ht="23.25" hidden="false" customHeight="true" outlineLevel="0" collapsed="false">
      <c r="B33" s="37" t="s">
        <v>1136</v>
      </c>
      <c r="C33" s="155" t="s">
        <v>1137</v>
      </c>
      <c r="D33" s="148" t="s">
        <v>1138</v>
      </c>
      <c r="E33" s="156" t="s">
        <v>1139</v>
      </c>
      <c r="F33" s="143" t="s">
        <v>1117</v>
      </c>
    </row>
    <row r="34" customFormat="false" ht="15" hidden="false" customHeight="true" outlineLevel="0" collapsed="false">
      <c r="B34" s="37" t="s">
        <v>1140</v>
      </c>
      <c r="C34" s="155" t="s">
        <v>1141</v>
      </c>
      <c r="D34" s="148" t="s">
        <v>1142</v>
      </c>
      <c r="E34" s="156" t="s">
        <v>1143</v>
      </c>
      <c r="F34" s="74" t="s">
        <v>1144</v>
      </c>
    </row>
    <row r="35" customFormat="false" ht="23.25" hidden="false" customHeight="true" outlineLevel="0" collapsed="false">
      <c r="B35" s="37" t="s">
        <v>1145</v>
      </c>
      <c r="C35" s="155" t="s">
        <v>1146</v>
      </c>
      <c r="D35" s="148" t="s">
        <v>1147</v>
      </c>
      <c r="E35" s="156" t="s">
        <v>1148</v>
      </c>
      <c r="F35" s="143" t="s">
        <v>1117</v>
      </c>
    </row>
    <row r="36" customFormat="false" ht="15" hidden="false" customHeight="true" outlineLevel="0" collapsed="false">
      <c r="B36" s="37" t="s">
        <v>1149</v>
      </c>
      <c r="C36" s="155" t="s">
        <v>1150</v>
      </c>
      <c r="D36" s="148" t="s">
        <v>1151</v>
      </c>
      <c r="E36" s="156" t="s">
        <v>1152</v>
      </c>
      <c r="F36" s="143" t="s">
        <v>1117</v>
      </c>
    </row>
    <row r="37" customFormat="false" ht="15" hidden="false" customHeight="true" outlineLevel="0" collapsed="false">
      <c r="B37" s="37" t="s">
        <v>1153</v>
      </c>
      <c r="C37" s="155" t="s">
        <v>1154</v>
      </c>
      <c r="D37" s="148" t="s">
        <v>1155</v>
      </c>
      <c r="E37" s="156" t="s">
        <v>1156</v>
      </c>
      <c r="F37" s="74" t="s">
        <v>1144</v>
      </c>
    </row>
    <row r="38" customFormat="false" ht="23.25" hidden="false" customHeight="true" outlineLevel="0" collapsed="false">
      <c r="B38" s="37" t="s">
        <v>1157</v>
      </c>
      <c r="C38" s="155" t="s">
        <v>1158</v>
      </c>
      <c r="D38" s="148" t="s">
        <v>1159</v>
      </c>
      <c r="E38" s="156" t="s">
        <v>1152</v>
      </c>
      <c r="F38" s="74" t="s">
        <v>1144</v>
      </c>
    </row>
    <row r="39" customFormat="false" ht="15" hidden="false" customHeight="true" outlineLevel="0" collapsed="false">
      <c r="B39" s="37" t="s">
        <v>1160</v>
      </c>
      <c r="C39" s="155" t="s">
        <v>1161</v>
      </c>
      <c r="D39" s="148" t="s">
        <v>1162</v>
      </c>
      <c r="E39" s="156" t="s">
        <v>1163</v>
      </c>
      <c r="F39" s="74" t="s">
        <v>1144</v>
      </c>
    </row>
    <row r="40" customFormat="false" ht="23.25" hidden="false" customHeight="true" outlineLevel="0" collapsed="false">
      <c r="B40" s="37" t="s">
        <v>1164</v>
      </c>
      <c r="C40" s="155" t="s">
        <v>1165</v>
      </c>
      <c r="D40" s="148" t="s">
        <v>1166</v>
      </c>
      <c r="E40" s="156" t="s">
        <v>1167</v>
      </c>
      <c r="F40" s="143" t="s">
        <v>1117</v>
      </c>
    </row>
    <row r="41" customFormat="false" ht="23.25" hidden="false" customHeight="true" outlineLevel="0" collapsed="false">
      <c r="B41" s="37" t="s">
        <v>1168</v>
      </c>
      <c r="C41" s="155" t="s">
        <v>1169</v>
      </c>
      <c r="D41" s="148" t="s">
        <v>226</v>
      </c>
      <c r="E41" s="156" t="s">
        <v>1170</v>
      </c>
      <c r="F41" s="157" t="s">
        <v>173</v>
      </c>
    </row>
    <row r="42" customFormat="false" ht="23.25" hidden="false" customHeight="true" outlineLevel="0" collapsed="false">
      <c r="B42" s="37" t="s">
        <v>1171</v>
      </c>
      <c r="C42" s="155" t="s">
        <v>1172</v>
      </c>
      <c r="D42" s="148" t="s">
        <v>1173</v>
      </c>
      <c r="E42" s="156" t="s">
        <v>1174</v>
      </c>
      <c r="F42" s="157" t="s">
        <v>173</v>
      </c>
    </row>
    <row r="43" customFormat="false" ht="23.25" hidden="false" customHeight="true" outlineLevel="0" collapsed="false">
      <c r="B43" s="37" t="s">
        <v>1175</v>
      </c>
      <c r="C43" s="155" t="s">
        <v>1176</v>
      </c>
      <c r="D43" s="148" t="s">
        <v>238</v>
      </c>
      <c r="E43" s="156" t="s">
        <v>1177</v>
      </c>
      <c r="F43" s="74" t="s">
        <v>1144</v>
      </c>
    </row>
    <row r="44" customFormat="false" ht="23.25" hidden="false" customHeight="true" outlineLevel="0" collapsed="false">
      <c r="B44" s="37" t="s">
        <v>1178</v>
      </c>
      <c r="C44" s="155" t="s">
        <v>1179</v>
      </c>
      <c r="D44" s="148" t="s">
        <v>1180</v>
      </c>
      <c r="E44" s="156" t="s">
        <v>1177</v>
      </c>
      <c r="F44" s="74" t="s">
        <v>1144</v>
      </c>
    </row>
    <row r="45" customFormat="false" ht="23.25" hidden="false" customHeight="true" outlineLevel="0" collapsed="false">
      <c r="B45" s="37" t="s">
        <v>1181</v>
      </c>
      <c r="C45" s="155" t="s">
        <v>1182</v>
      </c>
      <c r="D45" s="148" t="s">
        <v>247</v>
      </c>
      <c r="E45" s="156" t="s">
        <v>1170</v>
      </c>
      <c r="F45" s="157" t="s">
        <v>173</v>
      </c>
    </row>
    <row r="46" customFormat="false" ht="15" hidden="false" customHeight="true" outlineLevel="0" collapsed="false">
      <c r="B46" s="37" t="s">
        <v>1183</v>
      </c>
      <c r="C46" s="155" t="s">
        <v>1184</v>
      </c>
      <c r="D46" s="148" t="s">
        <v>1185</v>
      </c>
      <c r="E46" s="156" t="s">
        <v>1186</v>
      </c>
      <c r="F46" s="157" t="s">
        <v>173</v>
      </c>
    </row>
    <row r="49" customFormat="false" ht="15" hidden="false" customHeight="true" outlineLevel="0" collapsed="false">
      <c r="B49" s="6" t="s">
        <v>1187</v>
      </c>
      <c r="C49" s="6"/>
      <c r="D49" s="6"/>
      <c r="E49" s="6"/>
      <c r="F49" s="6"/>
    </row>
    <row r="50" customFormat="false" ht="15" hidden="false" customHeight="true" outlineLevel="0" collapsed="false">
      <c r="B50" s="108" t="s">
        <v>1188</v>
      </c>
      <c r="C50" s="10" t="s">
        <v>1189</v>
      </c>
      <c r="D50" s="10"/>
      <c r="E50" s="10"/>
      <c r="F50" s="10"/>
    </row>
    <row r="51" customFormat="false" ht="15" hidden="false" customHeight="true" outlineLevel="0" collapsed="false">
      <c r="B51" s="108" t="s">
        <v>1190</v>
      </c>
      <c r="C51" s="10" t="s">
        <v>1191</v>
      </c>
      <c r="D51" s="10"/>
      <c r="E51" s="10"/>
      <c r="F51" s="10"/>
    </row>
    <row r="52" customFormat="false" ht="23.25" hidden="false" customHeight="true" outlineLevel="0" collapsed="false">
      <c r="B52" s="108" t="s">
        <v>1192</v>
      </c>
      <c r="C52" s="10" t="s">
        <v>1193</v>
      </c>
      <c r="D52" s="10"/>
      <c r="E52" s="10"/>
      <c r="F52" s="10"/>
    </row>
    <row r="53" customFormat="false" ht="23.25" hidden="false" customHeight="true" outlineLevel="0" collapsed="false">
      <c r="B53" s="108" t="s">
        <v>1194</v>
      </c>
      <c r="C53" s="10" t="s">
        <v>1195</v>
      </c>
      <c r="D53" s="10"/>
      <c r="E53" s="10"/>
      <c r="F53" s="10"/>
    </row>
    <row r="54" customFormat="false" ht="15" hidden="false" customHeight="true" outlineLevel="0" collapsed="false">
      <c r="B54" s="108" t="s">
        <v>1196</v>
      </c>
      <c r="C54" s="10" t="s">
        <v>1197</v>
      </c>
      <c r="D54" s="10"/>
      <c r="E54" s="10"/>
      <c r="F54" s="10"/>
    </row>
    <row r="55" customFormat="false" ht="15" hidden="false" customHeight="true" outlineLevel="0" collapsed="false">
      <c r="B55" s="108" t="s">
        <v>1198</v>
      </c>
      <c r="C55" s="10" t="s">
        <v>1199</v>
      </c>
      <c r="D55" s="10"/>
      <c r="E55" s="10"/>
      <c r="F55" s="10"/>
    </row>
    <row r="56" customFormat="false" ht="23.25" hidden="false" customHeight="true" outlineLevel="0" collapsed="false">
      <c r="B56" s="108" t="s">
        <v>1200</v>
      </c>
      <c r="C56" s="10" t="s">
        <v>1201</v>
      </c>
      <c r="D56" s="10"/>
      <c r="E56" s="10"/>
      <c r="F56" s="10"/>
    </row>
    <row r="57" customFormat="false" ht="23.25" hidden="false" customHeight="true" outlineLevel="0" collapsed="false">
      <c r="B57" s="108" t="s">
        <v>1202</v>
      </c>
      <c r="C57" s="10" t="s">
        <v>1203</v>
      </c>
      <c r="D57" s="10"/>
      <c r="E57" s="10"/>
      <c r="F57" s="10"/>
    </row>
    <row r="60" customFormat="false" ht="15" hidden="false" customHeight="true" outlineLevel="0" collapsed="false">
      <c r="B60" s="6" t="s">
        <v>1204</v>
      </c>
      <c r="C60" s="6"/>
      <c r="D60" s="6"/>
      <c r="E60" s="6"/>
      <c r="F60" s="6"/>
    </row>
    <row r="61" customFormat="false" ht="15" hidden="false" customHeight="true" outlineLevel="0" collapsed="false">
      <c r="B61" s="108" t="s">
        <v>1205</v>
      </c>
      <c r="C61" s="10" t="s">
        <v>1206</v>
      </c>
      <c r="D61" s="10"/>
      <c r="E61" s="10"/>
      <c r="F61" s="10"/>
    </row>
    <row r="62" customFormat="false" ht="15" hidden="false" customHeight="true" outlineLevel="0" collapsed="false">
      <c r="B62" s="108" t="s">
        <v>1207</v>
      </c>
      <c r="C62" s="10" t="s">
        <v>11</v>
      </c>
      <c r="D62" s="10"/>
      <c r="E62" s="10"/>
      <c r="F62" s="10"/>
    </row>
    <row r="63" customFormat="false" ht="15" hidden="false" customHeight="true" outlineLevel="0" collapsed="false">
      <c r="B63" s="108" t="s">
        <v>1208</v>
      </c>
      <c r="C63" s="10" t="s">
        <v>7</v>
      </c>
      <c r="D63" s="10"/>
      <c r="E63" s="10"/>
      <c r="F63" s="10"/>
    </row>
    <row r="64" customFormat="false" ht="15" hidden="false" customHeight="true" outlineLevel="0" collapsed="false">
      <c r="B64" s="108" t="s">
        <v>1209</v>
      </c>
      <c r="C64" s="10" t="s">
        <v>1210</v>
      </c>
      <c r="D64" s="10"/>
      <c r="E64" s="10"/>
      <c r="F64" s="10"/>
    </row>
    <row r="65" customFormat="false" ht="15" hidden="false" customHeight="true" outlineLevel="0" collapsed="false">
      <c r="B65" s="108" t="s">
        <v>1211</v>
      </c>
      <c r="C65" s="10" t="s">
        <v>1212</v>
      </c>
      <c r="D65" s="10"/>
      <c r="E65" s="10"/>
      <c r="F65" s="10"/>
    </row>
    <row r="66" customFormat="false" ht="15" hidden="false" customHeight="true" outlineLevel="0" collapsed="false">
      <c r="B66" s="108" t="s">
        <v>1213</v>
      </c>
      <c r="C66" s="10" t="s">
        <v>1214</v>
      </c>
      <c r="D66" s="10"/>
      <c r="E66" s="10"/>
      <c r="F66" s="10"/>
    </row>
    <row r="67" customFormat="false" ht="15" hidden="false" customHeight="true" outlineLevel="0" collapsed="false">
      <c r="B67" s="108" t="s">
        <v>1215</v>
      </c>
      <c r="C67" s="10" t="s">
        <v>1216</v>
      </c>
      <c r="D67" s="10"/>
      <c r="E67" s="10"/>
      <c r="F67" s="10"/>
    </row>
    <row r="68" customFormat="false" ht="15" hidden="false" customHeight="true" outlineLevel="0" collapsed="false">
      <c r="B68" s="108" t="s">
        <v>1217</v>
      </c>
      <c r="C68" s="10" t="s">
        <v>1218</v>
      </c>
      <c r="D68" s="10"/>
      <c r="E68" s="10"/>
      <c r="F68" s="10"/>
    </row>
    <row r="69" customFormat="false" ht="15" hidden="false" customHeight="true" outlineLevel="0" collapsed="false">
      <c r="B69" s="108" t="s">
        <v>1219</v>
      </c>
      <c r="C69" s="10" t="s">
        <v>17</v>
      </c>
      <c r="D69" s="10"/>
      <c r="E69" s="10"/>
      <c r="F69" s="10"/>
    </row>
    <row r="70" customFormat="false" ht="15" hidden="false" customHeight="true" outlineLevel="0" collapsed="false">
      <c r="B70" s="108" t="s">
        <v>1220</v>
      </c>
      <c r="C70" s="10" t="s">
        <v>1221</v>
      </c>
      <c r="D70" s="10"/>
      <c r="E70" s="10"/>
      <c r="F70" s="10"/>
    </row>
    <row r="72" customFormat="false" ht="15" hidden="false" customHeight="true" outlineLevel="0" collapsed="false">
      <c r="B72" s="158" t="s">
        <v>1222</v>
      </c>
      <c r="C72" s="159" t="s">
        <v>1223</v>
      </c>
    </row>
    <row r="73" customFormat="false" ht="15" hidden="false" customHeight="true" outlineLevel="0" collapsed="false">
      <c r="B73" s="4" t="s">
        <v>1224</v>
      </c>
      <c r="C73" s="5" t="s">
        <v>1225</v>
      </c>
    </row>
    <row r="74" customFormat="false" ht="15" hidden="false" customHeight="true" outlineLevel="0" collapsed="false">
      <c r="B74" s="4" t="s">
        <v>1226</v>
      </c>
      <c r="C74" s="5" t="s">
        <v>1227</v>
      </c>
    </row>
    <row r="75" customFormat="false" ht="15" hidden="false" customHeight="true" outlineLevel="0" collapsed="false">
      <c r="B75" s="4" t="s">
        <v>1228</v>
      </c>
      <c r="C75" s="5" t="s">
        <v>1229</v>
      </c>
    </row>
    <row r="76" customFormat="false" ht="15" hidden="false" customHeight="true" outlineLevel="0" collapsed="false">
      <c r="B76" s="4" t="s">
        <v>1230</v>
      </c>
      <c r="C76" s="5" t="s">
        <v>1231</v>
      </c>
    </row>
    <row r="77" customFormat="false" ht="15" hidden="false" customHeight="true" outlineLevel="0" collapsed="false">
      <c r="B77" s="4" t="s">
        <v>1232</v>
      </c>
      <c r="C77" s="5" t="s">
        <v>1233</v>
      </c>
    </row>
    <row r="78" customFormat="false" ht="15" hidden="false" customHeight="true" outlineLevel="0" collapsed="false">
      <c r="B78" s="4" t="s">
        <v>1234</v>
      </c>
      <c r="C78" s="5" t="s">
        <v>1235</v>
      </c>
    </row>
    <row r="79" customFormat="false" ht="15" hidden="false" customHeight="true" outlineLevel="0" collapsed="false">
      <c r="B79" s="4" t="s">
        <v>1236</v>
      </c>
      <c r="C79" s="5" t="s">
        <v>1237</v>
      </c>
    </row>
    <row r="80" customFormat="false" ht="15" hidden="false" customHeight="true" outlineLevel="0" collapsed="false">
      <c r="B80" s="4" t="s">
        <v>1238</v>
      </c>
      <c r="C80" s="5" t="s">
        <v>1239</v>
      </c>
    </row>
    <row r="81" customFormat="false" ht="15" hidden="false" customHeight="true" outlineLevel="0" collapsed="false">
      <c r="B81" s="4" t="s">
        <v>1240</v>
      </c>
      <c r="C81" s="5" t="s">
        <v>1241</v>
      </c>
    </row>
  </sheetData>
  <mergeCells count="24">
    <mergeCell ref="B2:F2"/>
    <mergeCell ref="B3:F3"/>
    <mergeCell ref="B5:F5"/>
    <mergeCell ref="B25:F25"/>
    <mergeCell ref="B49:F49"/>
    <mergeCell ref="C50:F50"/>
    <mergeCell ref="C51:F51"/>
    <mergeCell ref="C52:F52"/>
    <mergeCell ref="C53:F53"/>
    <mergeCell ref="C54:F54"/>
    <mergeCell ref="C55:F55"/>
    <mergeCell ref="C56:F56"/>
    <mergeCell ref="C57:F57"/>
    <mergeCell ref="B60:F60"/>
    <mergeCell ref="C61:F61"/>
    <mergeCell ref="C62:F62"/>
    <mergeCell ref="C63:F63"/>
    <mergeCell ref="C64:F64"/>
    <mergeCell ref="C65:F65"/>
    <mergeCell ref="C66:F66"/>
    <mergeCell ref="C67:F67"/>
    <mergeCell ref="C68:F68"/>
    <mergeCell ref="C69:F69"/>
    <mergeCell ref="C70:F7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I4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14"/>
    <col collapsed="false" customWidth="true" hidden="false" outlineLevel="0" max="3" min="3" style="0" width="32"/>
    <col collapsed="false" customWidth="true" hidden="false" outlineLevel="0" max="5" min="4" style="0" width="22"/>
    <col collapsed="false" customWidth="true" hidden="false" outlineLevel="0" max="6" min="6" style="0" width="18"/>
    <col collapsed="false" customWidth="true" hidden="false" outlineLevel="0" max="7" min="7" style="0" width="14"/>
    <col collapsed="false" customWidth="true" hidden="false" outlineLevel="0" max="9" min="8" style="0" width="18"/>
  </cols>
  <sheetData>
    <row r="2" customFormat="false" ht="27.75" hidden="false" customHeight="true" outlineLevel="0" collapsed="false">
      <c r="B2" s="160" t="s">
        <v>1242</v>
      </c>
      <c r="C2" s="160"/>
      <c r="D2" s="160"/>
      <c r="E2" s="160"/>
      <c r="F2" s="160"/>
      <c r="G2" s="160"/>
      <c r="H2" s="160"/>
      <c r="I2" s="160"/>
    </row>
    <row r="3" customFormat="false" ht="30" hidden="false" customHeight="true" outlineLevel="0" collapsed="false">
      <c r="B3" s="161" t="s">
        <v>1243</v>
      </c>
      <c r="C3" s="161"/>
      <c r="D3" s="161"/>
      <c r="E3" s="161"/>
      <c r="F3" s="161"/>
      <c r="G3" s="161"/>
      <c r="H3" s="161"/>
      <c r="I3" s="161"/>
    </row>
    <row r="5" customFormat="false" ht="15" hidden="false" customHeight="false" outlineLevel="0" collapsed="false">
      <c r="B5" s="162" t="s">
        <v>12</v>
      </c>
      <c r="C5" s="163" t="s">
        <v>1244</v>
      </c>
      <c r="D5" s="163"/>
      <c r="E5" s="163"/>
      <c r="F5" s="163"/>
      <c r="G5" s="163"/>
      <c r="H5" s="163"/>
      <c r="I5" s="163"/>
    </row>
    <row r="7" customFormat="false" ht="69.75" hidden="false" customHeight="true" outlineLevel="0" collapsed="false">
      <c r="B7" s="162" t="s">
        <v>536</v>
      </c>
      <c r="C7" s="164" t="s">
        <v>1245</v>
      </c>
      <c r="D7" s="164"/>
      <c r="E7" s="164"/>
      <c r="F7" s="164"/>
      <c r="G7" s="164"/>
      <c r="H7" s="164"/>
      <c r="I7" s="164"/>
    </row>
    <row r="10" customFormat="false" ht="31.5" hidden="false" customHeight="true" outlineLevel="0" collapsed="false">
      <c r="B10" s="165" t="s">
        <v>412</v>
      </c>
      <c r="C10" s="165" t="s">
        <v>1246</v>
      </c>
      <c r="D10" s="165" t="s">
        <v>1247</v>
      </c>
      <c r="E10" s="165" t="s">
        <v>1248</v>
      </c>
      <c r="F10" s="165" t="s">
        <v>1249</v>
      </c>
      <c r="G10" s="165" t="s">
        <v>845</v>
      </c>
      <c r="H10" s="165" t="s">
        <v>1250</v>
      </c>
    </row>
    <row r="11" customFormat="false" ht="54.75" hidden="false" customHeight="true" outlineLevel="0" collapsed="false">
      <c r="B11" s="166" t="s">
        <v>1251</v>
      </c>
      <c r="C11" s="166" t="s">
        <v>1252</v>
      </c>
      <c r="D11" s="166" t="s">
        <v>1253</v>
      </c>
      <c r="E11" s="166" t="s">
        <v>1254</v>
      </c>
      <c r="F11" s="166" t="s">
        <v>1255</v>
      </c>
      <c r="G11" s="166" t="s">
        <v>127</v>
      </c>
      <c r="H11" s="166" t="s">
        <v>1256</v>
      </c>
    </row>
    <row r="12" customFormat="false" ht="54.75" hidden="false" customHeight="true" outlineLevel="0" collapsed="false">
      <c r="B12" s="167" t="s">
        <v>1257</v>
      </c>
      <c r="C12" s="167" t="s">
        <v>1258</v>
      </c>
      <c r="D12" s="167" t="s">
        <v>1259</v>
      </c>
      <c r="E12" s="167" t="s">
        <v>1260</v>
      </c>
      <c r="F12" s="167" t="s">
        <v>1261</v>
      </c>
      <c r="G12" s="167" t="s">
        <v>876</v>
      </c>
      <c r="H12" s="167" t="s">
        <v>1262</v>
      </c>
    </row>
    <row r="13" customFormat="false" ht="54.75" hidden="false" customHeight="true" outlineLevel="0" collapsed="false">
      <c r="B13" s="168" t="s">
        <v>1263</v>
      </c>
      <c r="C13" s="168" t="s">
        <v>1264</v>
      </c>
      <c r="D13" s="168" t="s">
        <v>1265</v>
      </c>
      <c r="E13" s="168" t="s">
        <v>1266</v>
      </c>
      <c r="F13" s="168" t="s">
        <v>1267</v>
      </c>
      <c r="G13" s="168" t="s">
        <v>109</v>
      </c>
      <c r="H13" s="168" t="s">
        <v>1268</v>
      </c>
    </row>
    <row r="16" customFormat="false" ht="15" hidden="false" customHeight="false" outlineLevel="0" collapsed="false">
      <c r="B16" s="169" t="s">
        <v>1269</v>
      </c>
      <c r="C16" s="169"/>
      <c r="D16" s="169"/>
      <c r="E16" s="169"/>
      <c r="F16" s="169"/>
      <c r="G16" s="169"/>
      <c r="H16" s="169"/>
      <c r="I16" s="169"/>
    </row>
    <row r="17" customFormat="false" ht="60" hidden="false" customHeight="true" outlineLevel="0" collapsed="false">
      <c r="B17" s="162" t="s">
        <v>1251</v>
      </c>
      <c r="C17" s="170" t="s">
        <v>1270</v>
      </c>
      <c r="D17" s="170"/>
      <c r="E17" s="170"/>
      <c r="F17" s="170"/>
      <c r="G17" s="170"/>
      <c r="H17" s="170"/>
      <c r="I17" s="170"/>
    </row>
    <row r="18" customFormat="false" ht="60" hidden="false" customHeight="true" outlineLevel="0" collapsed="false">
      <c r="B18" s="162" t="s">
        <v>1257</v>
      </c>
      <c r="C18" s="170" t="s">
        <v>1271</v>
      </c>
      <c r="D18" s="170"/>
      <c r="E18" s="170"/>
      <c r="F18" s="170"/>
      <c r="G18" s="170"/>
      <c r="H18" s="170"/>
      <c r="I18" s="170"/>
    </row>
    <row r="19" customFormat="false" ht="60" hidden="false" customHeight="true" outlineLevel="0" collapsed="false">
      <c r="B19" s="162" t="s">
        <v>1263</v>
      </c>
      <c r="C19" s="170" t="s">
        <v>1272</v>
      </c>
      <c r="D19" s="170"/>
      <c r="E19" s="170"/>
      <c r="F19" s="170"/>
      <c r="G19" s="170"/>
      <c r="H19" s="170"/>
      <c r="I19" s="170"/>
    </row>
    <row r="22" customFormat="false" ht="15" hidden="false" customHeight="false" outlineLevel="0" collapsed="false">
      <c r="B22" s="169" t="s">
        <v>1273</v>
      </c>
      <c r="C22" s="169"/>
      <c r="D22" s="169"/>
      <c r="E22" s="169"/>
      <c r="F22" s="169"/>
      <c r="G22" s="169"/>
      <c r="H22" s="169"/>
      <c r="I22" s="169"/>
    </row>
    <row r="23" customFormat="false" ht="42" hidden="false" customHeight="true" outlineLevel="0" collapsed="false">
      <c r="B23" s="165" t="s">
        <v>1246</v>
      </c>
      <c r="D23" s="165" t="s">
        <v>1274</v>
      </c>
      <c r="E23" s="165"/>
      <c r="F23" s="165" t="s">
        <v>1275</v>
      </c>
      <c r="G23" s="165"/>
      <c r="H23" s="165" t="s">
        <v>1276</v>
      </c>
      <c r="I23" s="165"/>
    </row>
    <row r="24" customFormat="false" ht="94.5" hidden="false" customHeight="true" outlineLevel="0" collapsed="false">
      <c r="B24" s="171" t="s">
        <v>1251</v>
      </c>
      <c r="D24" s="167" t="s">
        <v>1277</v>
      </c>
      <c r="E24" s="167"/>
      <c r="F24" s="167" t="s">
        <v>1278</v>
      </c>
      <c r="G24" s="167"/>
      <c r="H24" s="167" t="s">
        <v>1279</v>
      </c>
      <c r="I24" s="167"/>
    </row>
    <row r="25" customFormat="false" ht="94.5" hidden="false" customHeight="true" outlineLevel="0" collapsed="false">
      <c r="B25" s="171" t="s">
        <v>1257</v>
      </c>
      <c r="D25" s="167" t="s">
        <v>1280</v>
      </c>
      <c r="E25" s="167"/>
      <c r="F25" s="167" t="s">
        <v>1281</v>
      </c>
      <c r="G25" s="167"/>
      <c r="H25" s="167" t="s">
        <v>1282</v>
      </c>
      <c r="I25" s="167"/>
    </row>
    <row r="26" customFormat="false" ht="94.5" hidden="false" customHeight="true" outlineLevel="0" collapsed="false">
      <c r="B26" s="171" t="s">
        <v>1283</v>
      </c>
      <c r="D26" s="167" t="s">
        <v>1284</v>
      </c>
      <c r="E26" s="167"/>
      <c r="F26" s="167" t="s">
        <v>1285</v>
      </c>
      <c r="G26" s="167"/>
      <c r="H26" s="167" t="s">
        <v>1286</v>
      </c>
      <c r="I26" s="167"/>
    </row>
    <row r="29" customFormat="false" ht="15" hidden="false" customHeight="false" outlineLevel="0" collapsed="false">
      <c r="B29" s="172" t="s">
        <v>1287</v>
      </c>
      <c r="C29" s="172"/>
      <c r="D29" s="172"/>
      <c r="E29" s="172"/>
      <c r="F29" s="172"/>
      <c r="G29" s="172"/>
      <c r="H29" s="172"/>
      <c r="I29" s="172"/>
    </row>
    <row r="31" customFormat="false" ht="15" hidden="false" customHeight="false" outlineLevel="0" collapsed="false">
      <c r="B31" s="173" t="s">
        <v>1288</v>
      </c>
      <c r="C31" s="174" t="s">
        <v>1289</v>
      </c>
      <c r="D31" s="174"/>
      <c r="E31" s="174"/>
      <c r="F31" s="174"/>
      <c r="G31" s="174"/>
      <c r="H31" s="174"/>
      <c r="I31" s="174"/>
    </row>
    <row r="32" customFormat="false" ht="45" hidden="false" customHeight="true" outlineLevel="0" collapsed="false">
      <c r="B32" s="171" t="s">
        <v>1290</v>
      </c>
      <c r="C32" s="167" t="s">
        <v>1291</v>
      </c>
      <c r="D32" s="167"/>
      <c r="E32" s="167"/>
      <c r="F32" s="167"/>
      <c r="G32" s="167"/>
      <c r="H32" s="167"/>
      <c r="I32" s="167"/>
    </row>
    <row r="33" customFormat="false" ht="45" hidden="false" customHeight="true" outlineLevel="0" collapsed="false">
      <c r="B33" s="171" t="s">
        <v>1292</v>
      </c>
      <c r="C33" s="167" t="s">
        <v>1293</v>
      </c>
      <c r="D33" s="167"/>
      <c r="E33" s="167"/>
      <c r="F33" s="167"/>
      <c r="G33" s="167"/>
      <c r="H33" s="167"/>
      <c r="I33" s="167"/>
    </row>
    <row r="34" customFormat="false" ht="45" hidden="false" customHeight="true" outlineLevel="0" collapsed="false">
      <c r="B34" s="171" t="s">
        <v>1294</v>
      </c>
      <c r="C34" s="167" t="s">
        <v>1295</v>
      </c>
      <c r="D34" s="167"/>
      <c r="E34" s="167"/>
      <c r="F34" s="167"/>
      <c r="G34" s="167"/>
      <c r="H34" s="167"/>
      <c r="I34" s="167"/>
    </row>
    <row r="35" customFormat="false" ht="45" hidden="false" customHeight="true" outlineLevel="0" collapsed="false">
      <c r="B35" s="171" t="s">
        <v>1296</v>
      </c>
      <c r="C35" s="167" t="s">
        <v>1297</v>
      </c>
      <c r="D35" s="167"/>
      <c r="E35" s="167"/>
      <c r="F35" s="167"/>
      <c r="G35" s="167"/>
      <c r="H35" s="167"/>
      <c r="I35" s="167"/>
    </row>
    <row r="36" customFormat="false" ht="45" hidden="false" customHeight="true" outlineLevel="0" collapsed="false">
      <c r="B36" s="171" t="s">
        <v>1298</v>
      </c>
      <c r="C36" s="167" t="s">
        <v>1299</v>
      </c>
      <c r="D36" s="167"/>
      <c r="E36" s="167"/>
      <c r="F36" s="167"/>
      <c r="G36" s="167"/>
      <c r="H36" s="167"/>
      <c r="I36" s="167"/>
    </row>
    <row r="37" customFormat="false" ht="45" hidden="false" customHeight="true" outlineLevel="0" collapsed="false">
      <c r="B37" s="171" t="s">
        <v>1300</v>
      </c>
      <c r="C37" s="167" t="s">
        <v>1301</v>
      </c>
      <c r="D37" s="167"/>
      <c r="E37" s="167"/>
      <c r="F37" s="167"/>
      <c r="G37" s="167"/>
      <c r="H37" s="167"/>
      <c r="I37" s="167"/>
    </row>
    <row r="40" customFormat="false" ht="15" hidden="false" customHeight="false" outlineLevel="0" collapsed="false">
      <c r="B40" s="175" t="s">
        <v>1302</v>
      </c>
      <c r="C40" s="175"/>
      <c r="D40" s="175"/>
      <c r="E40" s="175"/>
      <c r="F40" s="175"/>
      <c r="G40" s="175"/>
      <c r="H40" s="175"/>
      <c r="I40" s="175"/>
    </row>
    <row r="41" customFormat="false" ht="69.75" hidden="false" customHeight="true" outlineLevel="0" collapsed="false">
      <c r="B41" s="176" t="s">
        <v>1303</v>
      </c>
      <c r="C41" s="176"/>
      <c r="D41" s="176"/>
      <c r="E41" s="176"/>
      <c r="F41" s="176"/>
      <c r="G41" s="176"/>
      <c r="H41" s="176"/>
      <c r="I41" s="176"/>
    </row>
  </sheetData>
  <mergeCells count="31">
    <mergeCell ref="B2:I2"/>
    <mergeCell ref="B3:I3"/>
    <mergeCell ref="C5:I5"/>
    <mergeCell ref="C7:I7"/>
    <mergeCell ref="B16:I16"/>
    <mergeCell ref="C17:I17"/>
    <mergeCell ref="C18:I18"/>
    <mergeCell ref="C19:I19"/>
    <mergeCell ref="B22:I22"/>
    <mergeCell ref="D23:E23"/>
    <mergeCell ref="F23:G23"/>
    <mergeCell ref="H23:I23"/>
    <mergeCell ref="D24:E24"/>
    <mergeCell ref="F24:G24"/>
    <mergeCell ref="H24:I24"/>
    <mergeCell ref="D25:E25"/>
    <mergeCell ref="F25:G25"/>
    <mergeCell ref="H25:I25"/>
    <mergeCell ref="D26:E26"/>
    <mergeCell ref="F26:G26"/>
    <mergeCell ref="H26:I26"/>
    <mergeCell ref="B29:I29"/>
    <mergeCell ref="C31:I31"/>
    <mergeCell ref="C32:I32"/>
    <mergeCell ref="C33:I33"/>
    <mergeCell ref="C34:I34"/>
    <mergeCell ref="C35:I35"/>
    <mergeCell ref="C36:I36"/>
    <mergeCell ref="C37:I37"/>
    <mergeCell ref="B40:I40"/>
    <mergeCell ref="B41:I4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2026-04-19T21:26:08Z</dcterms:created>
  <dc:creator>openpyxl</dc:creator>
  <dc:description/>
  <dc:language>en-US</dc:language>
  <cp:lastModifiedBy/>
  <dcterms:modified xsi:type="dcterms:W3CDTF">2026-04-19T22:38:26Z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